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8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9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2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2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2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Ex10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11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12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2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2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2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wnloads\participants\"/>
    </mc:Choice>
  </mc:AlternateContent>
  <xr:revisionPtr revIDLastSave="0" documentId="13_ncr:1_{6BFEBFB1-F802-40CC-B88B-80CAE5891770}" xr6:coauthVersionLast="47" xr6:coauthVersionMax="47" xr10:uidLastSave="{00000000-0000-0000-0000-000000000000}"/>
  <bookViews>
    <workbookView xWindow="14670" yWindow="0" windowWidth="37035" windowHeight="21705" firstSheet="7" activeTab="8" xr2:uid="{F7D3124C-613D-4289-AA86-0B361CA622BC}"/>
  </bookViews>
  <sheets>
    <sheet name="all_attempts" sheetId="1" r:id="rId1"/>
    <sheet name="mouse" sheetId="8" r:id="rId2"/>
    <sheet name="mouse_2" sheetId="10" r:id="rId3"/>
    <sheet name="keystroke specific" sheetId="7" r:id="rId4"/>
    <sheet name="far_summrary" sheetId="9" r:id="rId5"/>
    <sheet name="password_baseline" sheetId="11" r:id="rId6"/>
    <sheet name="PSSUQ" sheetId="2" r:id="rId7"/>
    <sheet name="pre-testing" sheetId="5" r:id="rId8"/>
    <sheet name="exploratory" sheetId="6" r:id="rId9"/>
    <sheet name="summary_tables" sheetId="3" r:id="rId10"/>
    <sheet name="charts" sheetId="4" r:id="rId11"/>
  </sheets>
  <definedNames>
    <definedName name="_xlchart.v1.0" hidden="1">mouse!$F$1</definedName>
    <definedName name="_xlchart.v1.1" hidden="1">mouse!$F$2:$F$61</definedName>
    <definedName name="_xlchart.v1.10" hidden="1">mouse!$K$1</definedName>
    <definedName name="_xlchart.v1.11" hidden="1">mouse!$K$2:$K$61</definedName>
    <definedName name="_xlchart.v1.12" hidden="1">'keystroke specific'!$AR$4</definedName>
    <definedName name="_xlchart.v1.13" hidden="1">'keystroke specific'!$AR$5:$AR$64</definedName>
    <definedName name="_xlchart.v1.14" hidden="1">'keystroke specific'!$AS$4</definedName>
    <definedName name="_xlchart.v1.15" hidden="1">'keystroke specific'!$AS$5:$AS$64</definedName>
    <definedName name="_xlchart.v1.16" hidden="1">'keystroke specific'!$AE$4</definedName>
    <definedName name="_xlchart.v1.17" hidden="1">'keystroke specific'!$AE$5:$AE$64</definedName>
    <definedName name="_xlchart.v1.18" hidden="1">'keystroke specific'!$AF$4</definedName>
    <definedName name="_xlchart.v1.19" hidden="1">'keystroke specific'!$AF$5:$AF$64</definedName>
    <definedName name="_xlchart.v1.2" hidden="1">mouse!$G$1</definedName>
    <definedName name="_xlchart.v1.20" hidden="1">'keystroke specific'!$K$4</definedName>
    <definedName name="_xlchart.v1.21" hidden="1">'keystroke specific'!$K$5:$K$64</definedName>
    <definedName name="_xlchart.v1.22" hidden="1">'keystroke specific'!$L$4</definedName>
    <definedName name="_xlchart.v1.23" hidden="1">'keystroke specific'!$L$5:$L$64</definedName>
    <definedName name="_xlchart.v1.24" hidden="1">mouse!$J$1</definedName>
    <definedName name="_xlchart.v1.25" hidden="1">mouse!$J$2:$J$61</definedName>
    <definedName name="_xlchart.v1.26" hidden="1">mouse!$K$1</definedName>
    <definedName name="_xlchart.v1.27" hidden="1">mouse!$K$2:$K$61</definedName>
    <definedName name="_xlchart.v1.28" hidden="1">mouse!$B$1</definedName>
    <definedName name="_xlchart.v1.29" hidden="1">mouse!$B$2:$B$61</definedName>
    <definedName name="_xlchart.v1.3" hidden="1">mouse!$G$2:$G$61</definedName>
    <definedName name="_xlchart.v1.30" hidden="1">mouse!$C$1</definedName>
    <definedName name="_xlchart.v1.31" hidden="1">mouse!$C$2:$C$61</definedName>
    <definedName name="_xlchart.v1.32" hidden="1">mouse!$F$1</definedName>
    <definedName name="_xlchart.v1.33" hidden="1">mouse!$F$2:$F$61</definedName>
    <definedName name="_xlchart.v1.34" hidden="1">mouse!$G$1</definedName>
    <definedName name="_xlchart.v1.35" hidden="1">mouse!$G$2:$G$61</definedName>
    <definedName name="_xlchart.v1.36" hidden="1">'keystroke specific'!$AR$4</definedName>
    <definedName name="_xlchart.v1.37" hidden="1">'keystroke specific'!$AR$5:$AR$64</definedName>
    <definedName name="_xlchart.v1.38" hidden="1">'keystroke specific'!$AS$4</definedName>
    <definedName name="_xlchart.v1.39" hidden="1">'keystroke specific'!$AS$5:$AS$64</definedName>
    <definedName name="_xlchart.v1.4" hidden="1">mouse!$B$1</definedName>
    <definedName name="_xlchart.v1.40" hidden="1">'keystroke specific'!$K$4</definedName>
    <definedName name="_xlchart.v1.41" hidden="1">'keystroke specific'!$K$5:$K$64</definedName>
    <definedName name="_xlchart.v1.42" hidden="1">'keystroke specific'!$L$4</definedName>
    <definedName name="_xlchart.v1.43" hidden="1">'keystroke specific'!$L$5:$L$64</definedName>
    <definedName name="_xlchart.v1.44" hidden="1">'keystroke specific'!$AE$4</definedName>
    <definedName name="_xlchart.v1.45" hidden="1">'keystroke specific'!$AE$5:$AE$64</definedName>
    <definedName name="_xlchart.v1.46" hidden="1">'keystroke specific'!$AF$4</definedName>
    <definedName name="_xlchart.v1.47" hidden="1">'keystroke specific'!$AF$5:$AF$64</definedName>
    <definedName name="_xlchart.v1.5" hidden="1">mouse!$B$2:$B$61</definedName>
    <definedName name="_xlchart.v1.6" hidden="1">mouse!$C$1</definedName>
    <definedName name="_xlchart.v1.7" hidden="1">mouse!$C$2:$C$61</definedName>
    <definedName name="_xlchart.v1.8" hidden="1">mouse!$J$1</definedName>
    <definedName name="_xlchart.v1.9" hidden="1">mouse!$J$2:$J$61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9" l="1"/>
  <c r="I6" i="9" s="1"/>
  <c r="D13" i="9"/>
  <c r="C13" i="9"/>
  <c r="H6" i="9" s="1"/>
  <c r="E12" i="9"/>
  <c r="I5" i="9" s="1"/>
  <c r="D12" i="9"/>
  <c r="C12" i="9"/>
  <c r="H5" i="9" s="1"/>
  <c r="B12" i="9"/>
  <c r="M35" i="9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K25" i="1" s="1"/>
  <c r="AI26" i="1"/>
  <c r="AK26" i="1" s="1"/>
  <c r="AI27" i="1"/>
  <c r="AK27" i="1" s="1"/>
  <c r="AI28" i="1"/>
  <c r="AK28" i="1" s="1"/>
  <c r="AI29" i="1"/>
  <c r="AK29" i="1" s="1"/>
  <c r="AI30" i="1"/>
  <c r="AK30" i="1" s="1"/>
  <c r="AI31" i="1"/>
  <c r="AK31" i="1" s="1"/>
  <c r="AI32" i="1"/>
  <c r="AK32" i="1" s="1"/>
  <c r="AI33" i="1"/>
  <c r="AK33" i="1" s="1"/>
  <c r="AI34" i="1"/>
  <c r="AK34" i="1" s="1"/>
  <c r="AI35" i="1"/>
  <c r="AK35" i="1" s="1"/>
  <c r="AI36" i="1"/>
  <c r="AK36" i="1" s="1"/>
  <c r="AI37" i="1"/>
  <c r="AK37" i="1" s="1"/>
  <c r="AI38" i="1"/>
  <c r="AK38" i="1" s="1"/>
  <c r="AI39" i="1"/>
  <c r="AK39" i="1" s="1"/>
  <c r="AI40" i="1"/>
  <c r="AK40" i="1" s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B15" i="11" s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K75" i="1" s="1"/>
  <c r="AI76" i="1"/>
  <c r="AK76" i="1" s="1"/>
  <c r="AI77" i="1"/>
  <c r="AK77" i="1" s="1"/>
  <c r="AI78" i="1"/>
  <c r="AK78" i="1" s="1"/>
  <c r="AI79" i="1"/>
  <c r="AK79" i="1" s="1"/>
  <c r="AI80" i="1"/>
  <c r="AK80" i="1" s="1"/>
  <c r="AI81" i="1"/>
  <c r="AK81" i="1" s="1"/>
  <c r="AI82" i="1"/>
  <c r="AK82" i="1" s="1"/>
  <c r="AI83" i="1"/>
  <c r="AK83" i="1" s="1"/>
  <c r="AI84" i="1"/>
  <c r="AK84" i="1" s="1"/>
  <c r="AI85" i="1"/>
  <c r="AK85" i="1" s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K104" i="1" s="1"/>
  <c r="AI105" i="1"/>
  <c r="AK105" i="1" s="1"/>
  <c r="AI106" i="1"/>
  <c r="AK106" i="1" s="1"/>
  <c r="AI107" i="1"/>
  <c r="AK107" i="1" s="1"/>
  <c r="AI108" i="1"/>
  <c r="AK108" i="1" s="1"/>
  <c r="AI109" i="1"/>
  <c r="AK109" i="1" s="1"/>
  <c r="AI110" i="1"/>
  <c r="AK110" i="1" s="1"/>
  <c r="AI111" i="1"/>
  <c r="AK111" i="1" s="1"/>
  <c r="AI112" i="1"/>
  <c r="AK112" i="1" s="1"/>
  <c r="AI113" i="1"/>
  <c r="AK113" i="1" s="1"/>
  <c r="AI114" i="1"/>
  <c r="AK114" i="1" s="1"/>
  <c r="AI115" i="1"/>
  <c r="AK115" i="1" s="1"/>
  <c r="AI116" i="1"/>
  <c r="AK116" i="1" s="1"/>
  <c r="AI117" i="1"/>
  <c r="AK117" i="1" s="1"/>
  <c r="AI118" i="1"/>
  <c r="AK118" i="1" s="1"/>
  <c r="AI119" i="1"/>
  <c r="AK119" i="1" s="1"/>
  <c r="AI120" i="1"/>
  <c r="AK120" i="1" s="1"/>
  <c r="AI121" i="1"/>
  <c r="AK121" i="1" s="1"/>
  <c r="AI2" i="1"/>
  <c r="AK3" i="1"/>
  <c r="AK4" i="1"/>
  <c r="AK5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B14" i="11"/>
  <c r="B10" i="11"/>
  <c r="B11" i="11"/>
  <c r="B12" i="11"/>
  <c r="B13" i="11"/>
  <c r="B9" i="11"/>
  <c r="B8" i="1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" i="1"/>
  <c r="BA7" i="7"/>
  <c r="BA8" i="7" s="1"/>
  <c r="BA9" i="7" s="1"/>
  <c r="BA10" i="7" s="1"/>
  <c r="BA11" i="7" s="1"/>
  <c r="BA12" i="7" s="1"/>
  <c r="BA13" i="7" s="1"/>
  <c r="BA14" i="7" s="1"/>
  <c r="BA15" i="7" s="1"/>
  <c r="BA16" i="7" s="1"/>
  <c r="BA17" i="7" s="1"/>
  <c r="BA18" i="7" s="1"/>
  <c r="BA19" i="7" s="1"/>
  <c r="BA20" i="7" s="1"/>
  <c r="BA21" i="7" s="1"/>
  <c r="BA22" i="7" s="1"/>
  <c r="BA23" i="7" s="1"/>
  <c r="BA24" i="7" s="1"/>
  <c r="BA25" i="7" s="1"/>
  <c r="BA26" i="7" s="1"/>
  <c r="BA27" i="7" s="1"/>
  <c r="BA28" i="7" s="1"/>
  <c r="BA29" i="7" s="1"/>
  <c r="BA30" i="7" s="1"/>
  <c r="BA31" i="7" s="1"/>
  <c r="BA32" i="7" s="1"/>
  <c r="BA33" i="7" s="1"/>
  <c r="BA34" i="7" s="1"/>
  <c r="BA35" i="7" s="1"/>
  <c r="BA36" i="7" s="1"/>
  <c r="BA37" i="7" s="1"/>
  <c r="BA38" i="7" s="1"/>
  <c r="BA39" i="7" s="1"/>
  <c r="BA40" i="7" s="1"/>
  <c r="BA41" i="7" s="1"/>
  <c r="BA42" i="7" s="1"/>
  <c r="BA43" i="7" s="1"/>
  <c r="BA44" i="7" s="1"/>
  <c r="BA45" i="7" s="1"/>
  <c r="BA46" i="7" s="1"/>
  <c r="BA47" i="7" s="1"/>
  <c r="BA48" i="7" s="1"/>
  <c r="BA49" i="7" s="1"/>
  <c r="BA50" i="7" s="1"/>
  <c r="BA51" i="7" s="1"/>
  <c r="BA52" i="7" s="1"/>
  <c r="BA53" i="7" s="1"/>
  <c r="BA54" i="7" s="1"/>
  <c r="BA55" i="7" s="1"/>
  <c r="BA56" i="7" s="1"/>
  <c r="BA57" i="7" s="1"/>
  <c r="BA58" i="7" s="1"/>
  <c r="BA59" i="7" s="1"/>
  <c r="BA60" i="7" s="1"/>
  <c r="BA61" i="7" s="1"/>
  <c r="BA62" i="7" s="1"/>
  <c r="BA63" i="7" s="1"/>
  <c r="BA64" i="7" s="1"/>
  <c r="BA6" i="7"/>
  <c r="R10" i="2"/>
  <c r="S10" i="2"/>
  <c r="B61" i="3" s="1"/>
  <c r="T10" i="2"/>
  <c r="B62" i="3" s="1"/>
  <c r="U10" i="2"/>
  <c r="B63" i="3" s="1"/>
  <c r="J72" i="1"/>
  <c r="AA72" i="1"/>
  <c r="AH72" i="1" s="1"/>
  <c r="AB72" i="1"/>
  <c r="AC72" i="1"/>
  <c r="AD72" i="1"/>
  <c r="AE72" i="1"/>
  <c r="AF72" i="1"/>
  <c r="AG72" i="1"/>
  <c r="J73" i="1"/>
  <c r="AA73" i="1"/>
  <c r="AB73" i="1"/>
  <c r="AC73" i="1"/>
  <c r="AD73" i="1"/>
  <c r="AE73" i="1"/>
  <c r="AF73" i="1"/>
  <c r="J74" i="1"/>
  <c r="AA74" i="1"/>
  <c r="AB74" i="1"/>
  <c r="AC74" i="1"/>
  <c r="AD74" i="1"/>
  <c r="AE74" i="1"/>
  <c r="AF74" i="1"/>
  <c r="AG74" i="1"/>
  <c r="AH74" i="1"/>
  <c r="J75" i="1"/>
  <c r="AA75" i="1"/>
  <c r="AB75" i="1"/>
  <c r="AC75" i="1"/>
  <c r="AD75" i="1"/>
  <c r="AE75" i="1"/>
  <c r="AF75" i="1"/>
  <c r="AG75" i="1"/>
  <c r="AH75" i="1"/>
  <c r="J76" i="1"/>
  <c r="AA76" i="1"/>
  <c r="AB76" i="1"/>
  <c r="AC76" i="1"/>
  <c r="AD76" i="1"/>
  <c r="AE76" i="1"/>
  <c r="AF76" i="1"/>
  <c r="AG76" i="1"/>
  <c r="AH76" i="1"/>
  <c r="J77" i="1"/>
  <c r="AA77" i="1"/>
  <c r="AB77" i="1"/>
  <c r="AC77" i="1"/>
  <c r="AD77" i="1"/>
  <c r="AE77" i="1"/>
  <c r="AF77" i="1"/>
  <c r="AG77" i="1"/>
  <c r="AH77" i="1"/>
  <c r="J78" i="1"/>
  <c r="AA78" i="1"/>
  <c r="AB78" i="1"/>
  <c r="AC78" i="1"/>
  <c r="AD78" i="1"/>
  <c r="AE78" i="1"/>
  <c r="AF78" i="1"/>
  <c r="AG78" i="1"/>
  <c r="J79" i="1"/>
  <c r="AA79" i="1"/>
  <c r="AB79" i="1"/>
  <c r="AC79" i="1"/>
  <c r="AG79" i="1" s="1"/>
  <c r="AD79" i="1"/>
  <c r="AE79" i="1"/>
  <c r="AF79" i="1"/>
  <c r="AH79" i="1"/>
  <c r="J80" i="1"/>
  <c r="AA80" i="1"/>
  <c r="AB80" i="1"/>
  <c r="AC80" i="1"/>
  <c r="AD80" i="1"/>
  <c r="AE80" i="1"/>
  <c r="AF80" i="1"/>
  <c r="J81" i="1"/>
  <c r="AA81" i="1"/>
  <c r="AB81" i="1"/>
  <c r="AC81" i="1"/>
  <c r="AD81" i="1"/>
  <c r="AE81" i="1"/>
  <c r="AF81" i="1"/>
  <c r="AG81" i="1"/>
  <c r="AH81" i="1"/>
  <c r="J2" i="1"/>
  <c r="AA2" i="1"/>
  <c r="AB2" i="1"/>
  <c r="AC2" i="1"/>
  <c r="AD2" i="1"/>
  <c r="AE2" i="1"/>
  <c r="AF2" i="1"/>
  <c r="AG2" i="1"/>
  <c r="AH2" i="1"/>
  <c r="A3" i="1"/>
  <c r="J3" i="1"/>
  <c r="AA3" i="1"/>
  <c r="AB3" i="1"/>
  <c r="AC3" i="1"/>
  <c r="AD3" i="1"/>
  <c r="AE3" i="1"/>
  <c r="AF3" i="1"/>
  <c r="AG3" i="1"/>
  <c r="AH3" i="1"/>
  <c r="A4" i="1"/>
  <c r="J4" i="1"/>
  <c r="AA4" i="1"/>
  <c r="AB4" i="1"/>
  <c r="AC4" i="1"/>
  <c r="AD4" i="1"/>
  <c r="AE4" i="1"/>
  <c r="AF4" i="1"/>
  <c r="AG4" i="1"/>
  <c r="AH4" i="1"/>
  <c r="A5" i="1"/>
  <c r="J5" i="1"/>
  <c r="AA5" i="1"/>
  <c r="AB5" i="1"/>
  <c r="AC5" i="1"/>
  <c r="AD5" i="1"/>
  <c r="AE5" i="1"/>
  <c r="AF5" i="1"/>
  <c r="AG5" i="1"/>
  <c r="AH5" i="1"/>
  <c r="A6" i="1"/>
  <c r="A7" i="1" s="1"/>
  <c r="A8" i="1" s="1"/>
  <c r="A9" i="1" s="1"/>
  <c r="A10" i="1" s="1"/>
  <c r="A11" i="1" s="1"/>
  <c r="A12" i="1" s="1"/>
  <c r="J6" i="1"/>
  <c r="AA6" i="1"/>
  <c r="AB6" i="1"/>
  <c r="AC6" i="1"/>
  <c r="AD6" i="1"/>
  <c r="AE6" i="1"/>
  <c r="AF6" i="1"/>
  <c r="J7" i="1"/>
  <c r="AA7" i="1"/>
  <c r="AB7" i="1"/>
  <c r="AC7" i="1"/>
  <c r="AD7" i="1"/>
  <c r="AE7" i="1"/>
  <c r="AF7" i="1"/>
  <c r="AG7" i="1"/>
  <c r="AH7" i="1"/>
  <c r="J8" i="1"/>
  <c r="AA8" i="1"/>
  <c r="AH8" i="1" s="1"/>
  <c r="AB8" i="1"/>
  <c r="AC8" i="1"/>
  <c r="AD8" i="1"/>
  <c r="AE8" i="1"/>
  <c r="AF8" i="1"/>
  <c r="AG8" i="1"/>
  <c r="J9" i="1"/>
  <c r="AA9" i="1"/>
  <c r="AB9" i="1"/>
  <c r="AC9" i="1"/>
  <c r="AD9" i="1"/>
  <c r="AE9" i="1"/>
  <c r="AF9" i="1"/>
  <c r="AG9" i="1"/>
  <c r="AH9" i="1"/>
  <c r="J10" i="1"/>
  <c r="AA10" i="1"/>
  <c r="AB10" i="1"/>
  <c r="AC10" i="1"/>
  <c r="AD10" i="1"/>
  <c r="AE10" i="1"/>
  <c r="AF10" i="1"/>
  <c r="AG10" i="1"/>
  <c r="AH10" i="1"/>
  <c r="J11" i="1"/>
  <c r="AA11" i="1"/>
  <c r="AB11" i="1"/>
  <c r="AC11" i="1"/>
  <c r="AD11" i="1"/>
  <c r="AE11" i="1"/>
  <c r="AF11" i="1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3" i="10"/>
  <c r="H3" i="10"/>
  <c r="H4" i="10" s="1"/>
  <c r="H5" i="10" s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D3" i="10"/>
  <c r="D4" i="10" s="1"/>
  <c r="D5" i="10" s="1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AI72" i="7"/>
  <c r="AI73" i="7" s="1"/>
  <c r="AI74" i="7" s="1"/>
  <c r="AI75" i="7" s="1"/>
  <c r="AI76" i="7" s="1"/>
  <c r="AI77" i="7" s="1"/>
  <c r="AI78" i="7" s="1"/>
  <c r="AI79" i="7" s="1"/>
  <c r="AI80" i="7" s="1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3" i="7" s="1"/>
  <c r="AI104" i="7" s="1"/>
  <c r="AI105" i="7" s="1"/>
  <c r="AI106" i="7" s="1"/>
  <c r="AI107" i="7" s="1"/>
  <c r="AI108" i="7" s="1"/>
  <c r="AI109" i="7" s="1"/>
  <c r="AI110" i="7" s="1"/>
  <c r="AI111" i="7" s="1"/>
  <c r="AI112" i="7" s="1"/>
  <c r="AI113" i="7" s="1"/>
  <c r="AI114" i="7" s="1"/>
  <c r="AI115" i="7" s="1"/>
  <c r="AI116" i="7" s="1"/>
  <c r="AI117" i="7" s="1"/>
  <c r="AI118" i="7" s="1"/>
  <c r="AI119" i="7" s="1"/>
  <c r="AI120" i="7" s="1"/>
  <c r="AI121" i="7" s="1"/>
  <c r="AI122" i="7" s="1"/>
  <c r="AI123" i="7" s="1"/>
  <c r="AI124" i="7" s="1"/>
  <c r="AI125" i="7" s="1"/>
  <c r="AI126" i="7" s="1"/>
  <c r="AI127" i="7" s="1"/>
  <c r="AI128" i="7" s="1"/>
  <c r="AI129" i="7" s="1"/>
  <c r="AI130" i="7" s="1"/>
  <c r="AD6" i="7"/>
  <c r="AD7" i="7" s="1"/>
  <c r="AD8" i="7" s="1"/>
  <c r="AD9" i="7" s="1"/>
  <c r="AD10" i="7" s="1"/>
  <c r="AD11" i="7" s="1"/>
  <c r="AD12" i="7" s="1"/>
  <c r="AD13" i="7" s="1"/>
  <c r="AD14" i="7" s="1"/>
  <c r="AD15" i="7" s="1"/>
  <c r="AD16" i="7" s="1"/>
  <c r="AD17" i="7" s="1"/>
  <c r="AD18" i="7" s="1"/>
  <c r="AD19" i="7" s="1"/>
  <c r="AD20" i="7" s="1"/>
  <c r="AD21" i="7" s="1"/>
  <c r="AD22" i="7" s="1"/>
  <c r="AD23" i="7" s="1"/>
  <c r="AD24" i="7" s="1"/>
  <c r="AD25" i="7" s="1"/>
  <c r="AD26" i="7" s="1"/>
  <c r="AD27" i="7" s="1"/>
  <c r="AD28" i="7" s="1"/>
  <c r="AD29" i="7" s="1"/>
  <c r="AD30" i="7" s="1"/>
  <c r="AD31" i="7" s="1"/>
  <c r="AD32" i="7" s="1"/>
  <c r="AD33" i="7" s="1"/>
  <c r="AD34" i="7" s="1"/>
  <c r="AD35" i="7" s="1"/>
  <c r="AD36" i="7" s="1"/>
  <c r="AD37" i="7" s="1"/>
  <c r="AD38" i="7" s="1"/>
  <c r="AD39" i="7" s="1"/>
  <c r="AD40" i="7" s="1"/>
  <c r="AD41" i="7" s="1"/>
  <c r="AD42" i="7" s="1"/>
  <c r="AD43" i="7" s="1"/>
  <c r="AD44" i="7" s="1"/>
  <c r="AD45" i="7" s="1"/>
  <c r="AD46" i="7" s="1"/>
  <c r="AD47" i="7" s="1"/>
  <c r="AD48" i="7" s="1"/>
  <c r="AD49" i="7" s="1"/>
  <c r="AD50" i="7" s="1"/>
  <c r="AD51" i="7" s="1"/>
  <c r="AD52" i="7" s="1"/>
  <c r="AD53" i="7" s="1"/>
  <c r="AD54" i="7" s="1"/>
  <c r="AD55" i="7" s="1"/>
  <c r="AD56" i="7" s="1"/>
  <c r="AD57" i="7" s="1"/>
  <c r="AD58" i="7" s="1"/>
  <c r="AD59" i="7" s="1"/>
  <c r="AD60" i="7" s="1"/>
  <c r="AD61" i="7" s="1"/>
  <c r="AD62" i="7" s="1"/>
  <c r="AD63" i="7" s="1"/>
  <c r="AD64" i="7" s="1"/>
  <c r="B132" i="1" a="1"/>
  <c r="M28" i="9"/>
  <c r="L28" i="9"/>
  <c r="M27" i="9"/>
  <c r="L27" i="9"/>
  <c r="M26" i="9"/>
  <c r="L26" i="9"/>
  <c r="M9" i="9"/>
  <c r="L9" i="9"/>
  <c r="M8" i="9"/>
  <c r="L8" i="9"/>
  <c r="M7" i="9"/>
  <c r="L7" i="9"/>
  <c r="AH6" i="7"/>
  <c r="O6" i="7"/>
  <c r="A6" i="7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J5" i="7"/>
  <c r="AI5" i="7"/>
  <c r="AK5" i="7" s="1"/>
  <c r="Q5" i="7"/>
  <c r="P5" i="7"/>
  <c r="R5" i="7" s="1"/>
  <c r="F58" i="3"/>
  <c r="F57" i="3"/>
  <c r="F55" i="3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" i="5"/>
  <c r="B64" i="3"/>
  <c r="B55" i="3"/>
  <c r="B53" i="3"/>
  <c r="B52" i="3"/>
  <c r="C37" i="3"/>
  <c r="C38" i="3"/>
  <c r="C39" i="3"/>
  <c r="B39" i="3"/>
  <c r="B38" i="3"/>
  <c r="B37" i="3"/>
  <c r="C18" i="3"/>
  <c r="C19" i="3"/>
  <c r="C20" i="3"/>
  <c r="B20" i="3"/>
  <c r="B19" i="3"/>
  <c r="B18" i="3"/>
  <c r="B7" i="3"/>
  <c r="B6" i="3"/>
  <c r="B5" i="3"/>
  <c r="B4" i="3"/>
  <c r="J121" i="1"/>
  <c r="J120" i="1"/>
  <c r="J119" i="1"/>
  <c r="J118" i="1"/>
  <c r="J117" i="1"/>
  <c r="J116" i="1"/>
  <c r="J115" i="1"/>
  <c r="J114" i="1"/>
  <c r="J113" i="1"/>
  <c r="J112" i="1"/>
  <c r="J61" i="1"/>
  <c r="J60" i="1"/>
  <c r="J59" i="1"/>
  <c r="J58" i="1"/>
  <c r="J57" i="1"/>
  <c r="J56" i="1"/>
  <c r="J55" i="1"/>
  <c r="J54" i="1"/>
  <c r="J53" i="1"/>
  <c r="J52" i="1"/>
  <c r="J111" i="1"/>
  <c r="J110" i="1"/>
  <c r="J109" i="1"/>
  <c r="J108" i="1"/>
  <c r="J107" i="1"/>
  <c r="J106" i="1"/>
  <c r="J105" i="1"/>
  <c r="J104" i="1"/>
  <c r="J103" i="1"/>
  <c r="J102" i="1"/>
  <c r="J51" i="1"/>
  <c r="J50" i="1"/>
  <c r="J49" i="1"/>
  <c r="J48" i="1"/>
  <c r="J47" i="1"/>
  <c r="J46" i="1"/>
  <c r="J45" i="1"/>
  <c r="J44" i="1"/>
  <c r="J43" i="1"/>
  <c r="J42" i="1"/>
  <c r="J101" i="1"/>
  <c r="J100" i="1"/>
  <c r="J99" i="1"/>
  <c r="J98" i="1"/>
  <c r="J97" i="1"/>
  <c r="J96" i="1"/>
  <c r="J95" i="1"/>
  <c r="J94" i="1"/>
  <c r="J93" i="1"/>
  <c r="J92" i="1"/>
  <c r="J41" i="1"/>
  <c r="J40" i="1"/>
  <c r="J39" i="1"/>
  <c r="J38" i="1"/>
  <c r="J37" i="1"/>
  <c r="J36" i="1"/>
  <c r="J35" i="1"/>
  <c r="J34" i="1"/>
  <c r="J33" i="1"/>
  <c r="J32" i="1"/>
  <c r="J91" i="1"/>
  <c r="J90" i="1"/>
  <c r="J89" i="1"/>
  <c r="J88" i="1"/>
  <c r="J87" i="1"/>
  <c r="J86" i="1"/>
  <c r="J85" i="1"/>
  <c r="J84" i="1"/>
  <c r="J83" i="1"/>
  <c r="J8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71" i="1"/>
  <c r="J70" i="1"/>
  <c r="J69" i="1"/>
  <c r="J68" i="1"/>
  <c r="J67" i="1"/>
  <c r="J66" i="1"/>
  <c r="J65" i="1"/>
  <c r="J64" i="1"/>
  <c r="J63" i="1"/>
  <c r="J62" i="1"/>
  <c r="U3" i="2"/>
  <c r="U4" i="2"/>
  <c r="U5" i="2"/>
  <c r="U6" i="2"/>
  <c r="U7" i="2"/>
  <c r="U8" i="2"/>
  <c r="U9" i="2"/>
  <c r="U2" i="2"/>
  <c r="T3" i="2"/>
  <c r="T4" i="2"/>
  <c r="T5" i="2"/>
  <c r="T6" i="2"/>
  <c r="T7" i="2"/>
  <c r="T8" i="2"/>
  <c r="T9" i="2"/>
  <c r="T2" i="2"/>
  <c r="S3" i="2"/>
  <c r="S4" i="2"/>
  <c r="S5" i="2"/>
  <c r="S6" i="2"/>
  <c r="S7" i="2"/>
  <c r="S8" i="2"/>
  <c r="S9" i="2"/>
  <c r="S2" i="2"/>
  <c r="R3" i="2"/>
  <c r="R4" i="2"/>
  <c r="R5" i="2"/>
  <c r="R6" i="2"/>
  <c r="R7" i="2"/>
  <c r="R8" i="2"/>
  <c r="R9" i="2"/>
  <c r="R2" i="2"/>
  <c r="AF62" i="1"/>
  <c r="AF63" i="1"/>
  <c r="AF64" i="1"/>
  <c r="AF65" i="1"/>
  <c r="AF66" i="1"/>
  <c r="AF67" i="1"/>
  <c r="AF68" i="1"/>
  <c r="AF69" i="1"/>
  <c r="AF70" i="1"/>
  <c r="AF7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82" i="1"/>
  <c r="AF83" i="1"/>
  <c r="AF84" i="1"/>
  <c r="AF85" i="1"/>
  <c r="AF86" i="1"/>
  <c r="AF87" i="1"/>
  <c r="AF88" i="1"/>
  <c r="AF89" i="1"/>
  <c r="AF90" i="1"/>
  <c r="AF91" i="1"/>
  <c r="AF32" i="1"/>
  <c r="AF33" i="1"/>
  <c r="AF34" i="1"/>
  <c r="AF35" i="1"/>
  <c r="AF36" i="1"/>
  <c r="AF37" i="1"/>
  <c r="AF38" i="1"/>
  <c r="AF39" i="1"/>
  <c r="AF40" i="1"/>
  <c r="AF41" i="1"/>
  <c r="AF92" i="1"/>
  <c r="AF93" i="1"/>
  <c r="AF94" i="1"/>
  <c r="AF95" i="1"/>
  <c r="AF96" i="1"/>
  <c r="AF97" i="1"/>
  <c r="AF98" i="1"/>
  <c r="AF99" i="1"/>
  <c r="AF100" i="1"/>
  <c r="AF101" i="1"/>
  <c r="AF42" i="1"/>
  <c r="AF43" i="1"/>
  <c r="AF44" i="1"/>
  <c r="AF45" i="1"/>
  <c r="AF46" i="1"/>
  <c r="AF47" i="1"/>
  <c r="AF48" i="1"/>
  <c r="AF49" i="1"/>
  <c r="AF50" i="1"/>
  <c r="AF51" i="1"/>
  <c r="AF102" i="1"/>
  <c r="AF103" i="1"/>
  <c r="AF104" i="1"/>
  <c r="AF105" i="1"/>
  <c r="AF106" i="1"/>
  <c r="AF107" i="1"/>
  <c r="AF108" i="1"/>
  <c r="AF109" i="1"/>
  <c r="AF110" i="1"/>
  <c r="AF111" i="1"/>
  <c r="AF52" i="1"/>
  <c r="AF53" i="1"/>
  <c r="AF54" i="1"/>
  <c r="AF55" i="1"/>
  <c r="AF56" i="1"/>
  <c r="AF57" i="1"/>
  <c r="AF58" i="1"/>
  <c r="AF59" i="1"/>
  <c r="AF60" i="1"/>
  <c r="AF61" i="1"/>
  <c r="AF112" i="1"/>
  <c r="AF113" i="1"/>
  <c r="AF114" i="1"/>
  <c r="AF115" i="1"/>
  <c r="AF116" i="1"/>
  <c r="AF117" i="1"/>
  <c r="AF118" i="1"/>
  <c r="AF119" i="1"/>
  <c r="AF120" i="1"/>
  <c r="AF121" i="1"/>
  <c r="AE62" i="1"/>
  <c r="AE63" i="1"/>
  <c r="AE64" i="1"/>
  <c r="AE65" i="1"/>
  <c r="AE66" i="1"/>
  <c r="AE67" i="1"/>
  <c r="AE68" i="1"/>
  <c r="AE69" i="1"/>
  <c r="AE70" i="1"/>
  <c r="AE7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82" i="1"/>
  <c r="AE83" i="1"/>
  <c r="AE84" i="1"/>
  <c r="AE85" i="1"/>
  <c r="AE86" i="1"/>
  <c r="AE87" i="1"/>
  <c r="AE88" i="1"/>
  <c r="AE89" i="1"/>
  <c r="AE90" i="1"/>
  <c r="AE91" i="1"/>
  <c r="AE32" i="1"/>
  <c r="AE33" i="1"/>
  <c r="AE34" i="1"/>
  <c r="AE35" i="1"/>
  <c r="AE36" i="1"/>
  <c r="AE37" i="1"/>
  <c r="AE38" i="1"/>
  <c r="AE39" i="1"/>
  <c r="AE40" i="1"/>
  <c r="AE41" i="1"/>
  <c r="AE92" i="1"/>
  <c r="AE93" i="1"/>
  <c r="AE94" i="1"/>
  <c r="AE95" i="1"/>
  <c r="AE96" i="1"/>
  <c r="AE97" i="1"/>
  <c r="AE98" i="1"/>
  <c r="AE99" i="1"/>
  <c r="AE100" i="1"/>
  <c r="AE101" i="1"/>
  <c r="AE42" i="1"/>
  <c r="AE43" i="1"/>
  <c r="AE44" i="1"/>
  <c r="AE45" i="1"/>
  <c r="AE46" i="1"/>
  <c r="AE47" i="1"/>
  <c r="AE48" i="1"/>
  <c r="AE49" i="1"/>
  <c r="AE50" i="1"/>
  <c r="AE51" i="1"/>
  <c r="AE102" i="1"/>
  <c r="AE103" i="1"/>
  <c r="AE104" i="1"/>
  <c r="AE105" i="1"/>
  <c r="AE106" i="1"/>
  <c r="AE107" i="1"/>
  <c r="AE108" i="1"/>
  <c r="AE109" i="1"/>
  <c r="AE110" i="1"/>
  <c r="AE111" i="1"/>
  <c r="AE52" i="1"/>
  <c r="AE53" i="1"/>
  <c r="AE54" i="1"/>
  <c r="AE55" i="1"/>
  <c r="AE56" i="1"/>
  <c r="AE57" i="1"/>
  <c r="AE58" i="1"/>
  <c r="AE59" i="1"/>
  <c r="AE60" i="1"/>
  <c r="AE61" i="1"/>
  <c r="AE112" i="1"/>
  <c r="AE113" i="1"/>
  <c r="AE114" i="1"/>
  <c r="AE115" i="1"/>
  <c r="AE116" i="1"/>
  <c r="AE117" i="1"/>
  <c r="AE118" i="1"/>
  <c r="AE119" i="1"/>
  <c r="AE120" i="1"/>
  <c r="AE121" i="1"/>
  <c r="AD62" i="1"/>
  <c r="AD63" i="1"/>
  <c r="AD64" i="1"/>
  <c r="AD65" i="1"/>
  <c r="AD66" i="1"/>
  <c r="AD67" i="1"/>
  <c r="AD68" i="1"/>
  <c r="AD69" i="1"/>
  <c r="AD70" i="1"/>
  <c r="AD7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82" i="1"/>
  <c r="AD83" i="1"/>
  <c r="AD84" i="1"/>
  <c r="AD85" i="1"/>
  <c r="AD86" i="1"/>
  <c r="AD87" i="1"/>
  <c r="AD88" i="1"/>
  <c r="AD89" i="1"/>
  <c r="AD90" i="1"/>
  <c r="AD91" i="1"/>
  <c r="AD32" i="1"/>
  <c r="AD33" i="1"/>
  <c r="AD34" i="1"/>
  <c r="AD35" i="1"/>
  <c r="AD36" i="1"/>
  <c r="AD37" i="1"/>
  <c r="AD38" i="1"/>
  <c r="AD39" i="1"/>
  <c r="AD40" i="1"/>
  <c r="AD41" i="1"/>
  <c r="AD92" i="1"/>
  <c r="AD93" i="1"/>
  <c r="AD94" i="1"/>
  <c r="AD95" i="1"/>
  <c r="AD96" i="1"/>
  <c r="AD97" i="1"/>
  <c r="AD98" i="1"/>
  <c r="AD99" i="1"/>
  <c r="AD100" i="1"/>
  <c r="AD101" i="1"/>
  <c r="AD42" i="1"/>
  <c r="AD43" i="1"/>
  <c r="AD44" i="1"/>
  <c r="AD45" i="1"/>
  <c r="AD46" i="1"/>
  <c r="AD47" i="1"/>
  <c r="AD48" i="1"/>
  <c r="AD49" i="1"/>
  <c r="AD50" i="1"/>
  <c r="AD51" i="1"/>
  <c r="AD102" i="1"/>
  <c r="AD103" i="1"/>
  <c r="AD104" i="1"/>
  <c r="AD105" i="1"/>
  <c r="AD106" i="1"/>
  <c r="AD107" i="1"/>
  <c r="AD108" i="1"/>
  <c r="AD109" i="1"/>
  <c r="AD110" i="1"/>
  <c r="AD111" i="1"/>
  <c r="AD52" i="1"/>
  <c r="AD53" i="1"/>
  <c r="AD54" i="1"/>
  <c r="AD55" i="1"/>
  <c r="AD56" i="1"/>
  <c r="AD57" i="1"/>
  <c r="AD58" i="1"/>
  <c r="AD59" i="1"/>
  <c r="AD60" i="1"/>
  <c r="AD61" i="1"/>
  <c r="AD112" i="1"/>
  <c r="AD113" i="1"/>
  <c r="AD114" i="1"/>
  <c r="AD115" i="1"/>
  <c r="AD116" i="1"/>
  <c r="AD117" i="1"/>
  <c r="AD118" i="1"/>
  <c r="AD119" i="1"/>
  <c r="AD120" i="1"/>
  <c r="AD121" i="1"/>
  <c r="AC62" i="1"/>
  <c r="AC63" i="1"/>
  <c r="AC64" i="1"/>
  <c r="AC65" i="1"/>
  <c r="AC66" i="1"/>
  <c r="AC67" i="1"/>
  <c r="AC68" i="1"/>
  <c r="AC69" i="1"/>
  <c r="AC70" i="1"/>
  <c r="AC7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2" i="1"/>
  <c r="AC83" i="1"/>
  <c r="AC84" i="1"/>
  <c r="AC85" i="1"/>
  <c r="AC86" i="1"/>
  <c r="AC87" i="1"/>
  <c r="AC88" i="1"/>
  <c r="AC89" i="1"/>
  <c r="AC90" i="1"/>
  <c r="AC91" i="1"/>
  <c r="AC32" i="1"/>
  <c r="AC33" i="1"/>
  <c r="AC34" i="1"/>
  <c r="AC35" i="1"/>
  <c r="AC36" i="1"/>
  <c r="AC37" i="1"/>
  <c r="AC38" i="1"/>
  <c r="AC39" i="1"/>
  <c r="AC40" i="1"/>
  <c r="AC41" i="1"/>
  <c r="AC92" i="1"/>
  <c r="AC93" i="1"/>
  <c r="AC94" i="1"/>
  <c r="AC95" i="1"/>
  <c r="AC96" i="1"/>
  <c r="AC97" i="1"/>
  <c r="AC98" i="1"/>
  <c r="AC99" i="1"/>
  <c r="AC100" i="1"/>
  <c r="AC101" i="1"/>
  <c r="AC42" i="1"/>
  <c r="AC43" i="1"/>
  <c r="AC44" i="1"/>
  <c r="AC45" i="1"/>
  <c r="AC46" i="1"/>
  <c r="AC47" i="1"/>
  <c r="AC48" i="1"/>
  <c r="AC49" i="1"/>
  <c r="AC50" i="1"/>
  <c r="AC51" i="1"/>
  <c r="AC102" i="1"/>
  <c r="AC103" i="1"/>
  <c r="AC104" i="1"/>
  <c r="AC105" i="1"/>
  <c r="AC106" i="1"/>
  <c r="AC107" i="1"/>
  <c r="AC108" i="1"/>
  <c r="AC109" i="1"/>
  <c r="AC110" i="1"/>
  <c r="AC111" i="1"/>
  <c r="AC52" i="1"/>
  <c r="AC53" i="1"/>
  <c r="AC54" i="1"/>
  <c r="AC55" i="1"/>
  <c r="AC56" i="1"/>
  <c r="AC57" i="1"/>
  <c r="AC58" i="1"/>
  <c r="AC59" i="1"/>
  <c r="AC60" i="1"/>
  <c r="AC61" i="1"/>
  <c r="AC112" i="1"/>
  <c r="AC113" i="1"/>
  <c r="AC114" i="1"/>
  <c r="AC115" i="1"/>
  <c r="AC116" i="1"/>
  <c r="AC117" i="1"/>
  <c r="AC118" i="1"/>
  <c r="AC119" i="1"/>
  <c r="AC120" i="1"/>
  <c r="AC121" i="1"/>
  <c r="AB62" i="1"/>
  <c r="AB63" i="1"/>
  <c r="AB64" i="1"/>
  <c r="AB65" i="1"/>
  <c r="AB66" i="1"/>
  <c r="AB67" i="1"/>
  <c r="AB68" i="1"/>
  <c r="AB69" i="1"/>
  <c r="AB70" i="1"/>
  <c r="AB71" i="1"/>
  <c r="C78" i="9" s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82" i="1"/>
  <c r="AB83" i="1"/>
  <c r="AB84" i="1"/>
  <c r="AB85" i="1"/>
  <c r="AB86" i="1"/>
  <c r="AB87" i="1"/>
  <c r="AB88" i="1"/>
  <c r="AB89" i="1"/>
  <c r="AB90" i="1"/>
  <c r="AB91" i="1"/>
  <c r="AB32" i="1"/>
  <c r="AB33" i="1"/>
  <c r="AB34" i="1"/>
  <c r="AB35" i="1"/>
  <c r="AB36" i="1"/>
  <c r="AB37" i="1"/>
  <c r="AB38" i="1"/>
  <c r="AB39" i="1"/>
  <c r="AB40" i="1"/>
  <c r="AB41" i="1"/>
  <c r="AB92" i="1"/>
  <c r="AB93" i="1"/>
  <c r="AB94" i="1"/>
  <c r="AB95" i="1"/>
  <c r="AB96" i="1"/>
  <c r="AB97" i="1"/>
  <c r="AB98" i="1"/>
  <c r="AB99" i="1"/>
  <c r="AB100" i="1"/>
  <c r="AB101" i="1"/>
  <c r="AB42" i="1"/>
  <c r="AB43" i="1"/>
  <c r="AB44" i="1"/>
  <c r="AB45" i="1"/>
  <c r="AB46" i="1"/>
  <c r="AB47" i="1"/>
  <c r="AB48" i="1"/>
  <c r="AB49" i="1"/>
  <c r="AB50" i="1"/>
  <c r="AB51" i="1"/>
  <c r="AB102" i="1"/>
  <c r="AB103" i="1"/>
  <c r="AB104" i="1"/>
  <c r="AB105" i="1"/>
  <c r="AB106" i="1"/>
  <c r="AB107" i="1"/>
  <c r="AB108" i="1"/>
  <c r="AB109" i="1"/>
  <c r="AB110" i="1"/>
  <c r="AB111" i="1"/>
  <c r="AB52" i="1"/>
  <c r="AB53" i="1"/>
  <c r="AB54" i="1"/>
  <c r="AB55" i="1"/>
  <c r="AB56" i="1"/>
  <c r="AB57" i="1"/>
  <c r="AB58" i="1"/>
  <c r="AB59" i="1"/>
  <c r="AB60" i="1"/>
  <c r="AB61" i="1"/>
  <c r="AB112" i="1"/>
  <c r="AB113" i="1"/>
  <c r="AB114" i="1"/>
  <c r="AB115" i="1"/>
  <c r="AB116" i="1"/>
  <c r="AB117" i="1"/>
  <c r="AB118" i="1"/>
  <c r="AB119" i="1"/>
  <c r="AB120" i="1"/>
  <c r="AB121" i="1"/>
  <c r="AA62" i="1"/>
  <c r="AA63" i="1"/>
  <c r="AA64" i="1"/>
  <c r="AA65" i="1"/>
  <c r="AA66" i="1"/>
  <c r="AA67" i="1"/>
  <c r="AA68" i="1"/>
  <c r="AA69" i="1"/>
  <c r="AA70" i="1"/>
  <c r="AA71" i="1"/>
  <c r="B78" i="9" s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82" i="1"/>
  <c r="AA83" i="1"/>
  <c r="AA84" i="1"/>
  <c r="AA85" i="1"/>
  <c r="AA86" i="1"/>
  <c r="AA87" i="1"/>
  <c r="AA88" i="1"/>
  <c r="AA89" i="1"/>
  <c r="AA90" i="1"/>
  <c r="AA91" i="1"/>
  <c r="AA32" i="1"/>
  <c r="AA33" i="1"/>
  <c r="AA34" i="1"/>
  <c r="AA35" i="1"/>
  <c r="AA36" i="1"/>
  <c r="AA37" i="1"/>
  <c r="AA38" i="1"/>
  <c r="AA39" i="1"/>
  <c r="AA40" i="1"/>
  <c r="AA41" i="1"/>
  <c r="AA92" i="1"/>
  <c r="AA93" i="1"/>
  <c r="AA94" i="1"/>
  <c r="AA95" i="1"/>
  <c r="AA96" i="1"/>
  <c r="AA97" i="1"/>
  <c r="AA98" i="1"/>
  <c r="AA99" i="1"/>
  <c r="AA100" i="1"/>
  <c r="AA101" i="1"/>
  <c r="AA42" i="1"/>
  <c r="AA43" i="1"/>
  <c r="AA44" i="1"/>
  <c r="AA45" i="1"/>
  <c r="AA46" i="1"/>
  <c r="AA47" i="1"/>
  <c r="AA48" i="1"/>
  <c r="AA49" i="1"/>
  <c r="AA50" i="1"/>
  <c r="AA51" i="1"/>
  <c r="AA102" i="1"/>
  <c r="AA103" i="1"/>
  <c r="AA104" i="1"/>
  <c r="AA105" i="1"/>
  <c r="AA106" i="1"/>
  <c r="AA107" i="1"/>
  <c r="AA108" i="1"/>
  <c r="AA109" i="1"/>
  <c r="AA110" i="1"/>
  <c r="AA111" i="1"/>
  <c r="AA52" i="1"/>
  <c r="AA53" i="1"/>
  <c r="AA54" i="1"/>
  <c r="AA55" i="1"/>
  <c r="AA56" i="1"/>
  <c r="AA57" i="1"/>
  <c r="AA58" i="1"/>
  <c r="AA59" i="1"/>
  <c r="AA60" i="1"/>
  <c r="AA61" i="1"/>
  <c r="AA112" i="1"/>
  <c r="AA113" i="1"/>
  <c r="AA114" i="1"/>
  <c r="AA115" i="1"/>
  <c r="AA116" i="1"/>
  <c r="AA117" i="1"/>
  <c r="AA118" i="1"/>
  <c r="AA119" i="1"/>
  <c r="AA120" i="1"/>
  <c r="AA121" i="1"/>
  <c r="D78" i="9" l="1"/>
  <c r="AH78" i="1"/>
  <c r="AH73" i="1"/>
  <c r="AG73" i="1"/>
  <c r="AG80" i="1"/>
  <c r="AH80" i="1"/>
  <c r="R4" i="9"/>
  <c r="Q4" i="9"/>
  <c r="D2" i="9"/>
  <c r="C2" i="9"/>
  <c r="H2" i="9" s="1"/>
  <c r="R15" i="9"/>
  <c r="Q15" i="9"/>
  <c r="C3" i="9"/>
  <c r="H3" i="9" s="1"/>
  <c r="D3" i="9"/>
  <c r="R23" i="9"/>
  <c r="Q23" i="9"/>
  <c r="D4" i="9"/>
  <c r="C4" i="9"/>
  <c r="H4" i="9" s="1"/>
  <c r="AG6" i="1"/>
  <c r="AH6" i="1"/>
  <c r="S23" i="9"/>
  <c r="P23" i="9"/>
  <c r="B4" i="9"/>
  <c r="E4" i="9"/>
  <c r="S15" i="9"/>
  <c r="P15" i="9"/>
  <c r="E3" i="9"/>
  <c r="B3" i="9"/>
  <c r="S4" i="9"/>
  <c r="P4" i="9"/>
  <c r="E2" i="9"/>
  <c r="I2" i="9" s="1"/>
  <c r="B2" i="9"/>
  <c r="B132" i="1"/>
  <c r="AG11" i="1"/>
  <c r="AH11" i="1"/>
  <c r="L23" i="9"/>
  <c r="L25" i="9"/>
  <c r="L24" i="9"/>
  <c r="M24" i="9"/>
  <c r="M23" i="9"/>
  <c r="M25" i="9"/>
  <c r="M17" i="9"/>
  <c r="M16" i="9"/>
  <c r="M15" i="9"/>
  <c r="L16" i="9"/>
  <c r="L17" i="9"/>
  <c r="L15" i="9"/>
  <c r="L6" i="9"/>
  <c r="L5" i="9"/>
  <c r="L4" i="9"/>
  <c r="M6" i="9"/>
  <c r="M5" i="9"/>
  <c r="M4" i="9"/>
  <c r="B15" i="3"/>
  <c r="G17" i="3"/>
  <c r="AH7" i="7"/>
  <c r="AJ6" i="7"/>
  <c r="AI6" i="7"/>
  <c r="AK6" i="7" s="1"/>
  <c r="Q6" i="7"/>
  <c r="P6" i="7"/>
  <c r="R6" i="7" s="1"/>
  <c r="O7" i="7"/>
  <c r="F17" i="3"/>
  <c r="G36" i="3"/>
  <c r="F56" i="3"/>
  <c r="F28" i="3"/>
  <c r="B28" i="3"/>
  <c r="F36" i="3"/>
  <c r="B16" i="3"/>
  <c r="G28" i="3"/>
  <c r="C28" i="3"/>
  <c r="B34" i="3"/>
  <c r="B17" i="3"/>
  <c r="B54" i="3"/>
  <c r="B36" i="3"/>
  <c r="B35" i="3"/>
  <c r="C36" i="3"/>
  <c r="C35" i="3"/>
  <c r="C34" i="3"/>
  <c r="C27" i="3"/>
  <c r="C26" i="3"/>
  <c r="B26" i="3"/>
  <c r="B27" i="3"/>
  <c r="C16" i="3"/>
  <c r="C17" i="3"/>
  <c r="C15" i="3"/>
  <c r="AH62" i="1"/>
  <c r="AG62" i="1"/>
  <c r="AH63" i="1"/>
  <c r="AG63" i="1"/>
  <c r="AH64" i="1"/>
  <c r="AG64" i="1"/>
  <c r="AH65" i="1"/>
  <c r="AG65" i="1"/>
  <c r="AH66" i="1"/>
  <c r="AG66" i="1"/>
  <c r="AH67" i="1"/>
  <c r="AG67" i="1"/>
  <c r="AH68" i="1"/>
  <c r="AG68" i="1"/>
  <c r="AG69" i="1"/>
  <c r="AH69" i="1"/>
  <c r="AG70" i="1"/>
  <c r="AH70" i="1"/>
  <c r="AH71" i="1"/>
  <c r="AG71" i="1"/>
  <c r="AH12" i="1"/>
  <c r="AG12" i="1"/>
  <c r="AH13" i="1"/>
  <c r="AG13" i="1"/>
  <c r="AG14" i="1"/>
  <c r="AH14" i="1"/>
  <c r="AH15" i="1"/>
  <c r="AG15" i="1"/>
  <c r="AH16" i="1"/>
  <c r="AG16" i="1"/>
  <c r="AG17" i="1"/>
  <c r="AH17" i="1"/>
  <c r="AH18" i="1"/>
  <c r="AG18" i="1"/>
  <c r="AH19" i="1"/>
  <c r="AG19" i="1"/>
  <c r="AH20" i="1"/>
  <c r="AG20" i="1"/>
  <c r="AH21" i="1"/>
  <c r="AG21" i="1"/>
  <c r="AH22" i="1"/>
  <c r="AG22" i="1"/>
  <c r="AH23" i="1"/>
  <c r="AG23" i="1"/>
  <c r="AH24" i="1"/>
  <c r="AG24" i="1"/>
  <c r="AH25" i="1"/>
  <c r="AG25" i="1"/>
  <c r="AH26" i="1"/>
  <c r="AG26" i="1"/>
  <c r="AH27" i="1"/>
  <c r="AG27" i="1"/>
  <c r="AH28" i="1"/>
  <c r="AG28" i="1"/>
  <c r="AH29" i="1"/>
  <c r="AG29" i="1"/>
  <c r="AH30" i="1"/>
  <c r="AG30" i="1"/>
  <c r="AH31" i="1"/>
  <c r="AG31" i="1"/>
  <c r="AH82" i="1"/>
  <c r="AG82" i="1"/>
  <c r="AH83" i="1"/>
  <c r="AG83" i="1"/>
  <c r="AH84" i="1"/>
  <c r="AG84" i="1"/>
  <c r="AH85" i="1"/>
  <c r="AG85" i="1"/>
  <c r="AH86" i="1"/>
  <c r="AG86" i="1"/>
  <c r="AH87" i="1"/>
  <c r="AG87" i="1"/>
  <c r="AH88" i="1"/>
  <c r="AG88" i="1"/>
  <c r="AH89" i="1"/>
  <c r="AG89" i="1"/>
  <c r="AH90" i="1"/>
  <c r="AG90" i="1"/>
  <c r="AH91" i="1"/>
  <c r="AG91" i="1"/>
  <c r="AH32" i="1"/>
  <c r="AG32" i="1"/>
  <c r="AH33" i="1"/>
  <c r="AG33" i="1"/>
  <c r="AH34" i="1"/>
  <c r="AG34" i="1"/>
  <c r="AH35" i="1"/>
  <c r="AG35" i="1"/>
  <c r="AH36" i="1"/>
  <c r="AG36" i="1"/>
  <c r="AH37" i="1"/>
  <c r="AG37" i="1"/>
  <c r="AH38" i="1"/>
  <c r="AG38" i="1"/>
  <c r="AH39" i="1"/>
  <c r="AG39" i="1"/>
  <c r="AH40" i="1"/>
  <c r="AG40" i="1"/>
  <c r="AH41" i="1"/>
  <c r="AG41" i="1"/>
  <c r="AH92" i="1"/>
  <c r="AG92" i="1"/>
  <c r="AH93" i="1"/>
  <c r="AG93" i="1"/>
  <c r="AH94" i="1"/>
  <c r="AG94" i="1"/>
  <c r="AH95" i="1"/>
  <c r="AG95" i="1"/>
  <c r="AH96" i="1"/>
  <c r="AG96" i="1"/>
  <c r="AH97" i="1"/>
  <c r="AG97" i="1"/>
  <c r="AH98" i="1"/>
  <c r="AG98" i="1"/>
  <c r="AH99" i="1"/>
  <c r="AG99" i="1"/>
  <c r="AH100" i="1"/>
  <c r="AG100" i="1"/>
  <c r="AH101" i="1"/>
  <c r="AG101" i="1"/>
  <c r="AH42" i="1"/>
  <c r="AG42" i="1"/>
  <c r="AH43" i="1"/>
  <c r="AG43" i="1"/>
  <c r="AG44" i="1"/>
  <c r="AH44" i="1"/>
  <c r="AH45" i="1"/>
  <c r="AG45" i="1"/>
  <c r="AG46" i="1"/>
  <c r="AH46" i="1"/>
  <c r="AH47" i="1"/>
  <c r="AG47" i="1"/>
  <c r="AH48" i="1"/>
  <c r="AG48" i="1"/>
  <c r="AH49" i="1"/>
  <c r="AG49" i="1"/>
  <c r="AH50" i="1"/>
  <c r="AG50" i="1"/>
  <c r="AH51" i="1"/>
  <c r="AG51" i="1"/>
  <c r="AH102" i="1"/>
  <c r="AG102" i="1"/>
  <c r="AH103" i="1"/>
  <c r="AG103" i="1"/>
  <c r="AH104" i="1"/>
  <c r="AG104" i="1"/>
  <c r="AH105" i="1"/>
  <c r="AG105" i="1"/>
  <c r="AG106" i="1"/>
  <c r="AH106" i="1"/>
  <c r="AH107" i="1"/>
  <c r="AG107" i="1"/>
  <c r="AH108" i="1"/>
  <c r="AG108" i="1"/>
  <c r="AH109" i="1"/>
  <c r="AG109" i="1"/>
  <c r="AG110" i="1"/>
  <c r="AH110" i="1"/>
  <c r="AH111" i="1"/>
  <c r="AG111" i="1"/>
  <c r="AH52" i="1"/>
  <c r="AG52" i="1"/>
  <c r="AH53" i="1"/>
  <c r="AG53" i="1"/>
  <c r="AH54" i="1"/>
  <c r="AG54" i="1"/>
  <c r="AG55" i="1"/>
  <c r="AH55" i="1"/>
  <c r="AG56" i="1"/>
  <c r="AH56" i="1"/>
  <c r="AH57" i="1"/>
  <c r="AG57" i="1"/>
  <c r="AH58" i="1"/>
  <c r="AG58" i="1"/>
  <c r="AH59" i="1"/>
  <c r="AG59" i="1"/>
  <c r="AG60" i="1"/>
  <c r="AH60" i="1"/>
  <c r="AH61" i="1"/>
  <c r="AG61" i="1"/>
  <c r="AG112" i="1"/>
  <c r="AH112" i="1"/>
  <c r="AH113" i="1"/>
  <c r="AG113" i="1"/>
  <c r="AH114" i="1"/>
  <c r="AG114" i="1"/>
  <c r="AG115" i="1"/>
  <c r="AH115" i="1"/>
  <c r="AH116" i="1"/>
  <c r="AG116" i="1"/>
  <c r="AH117" i="1"/>
  <c r="AG117" i="1"/>
  <c r="AH118" i="1"/>
  <c r="AG118" i="1"/>
  <c r="AH119" i="1"/>
  <c r="AG119" i="1"/>
  <c r="AG120" i="1"/>
  <c r="AH120" i="1"/>
  <c r="AH121" i="1"/>
  <c r="AG121" i="1"/>
  <c r="B13" i="9" l="1"/>
  <c r="L35" i="9"/>
  <c r="L34" i="9"/>
  <c r="M34" i="9"/>
  <c r="AI7" i="7"/>
  <c r="AK7" i="7" s="1"/>
  <c r="AJ7" i="7"/>
  <c r="AH8" i="7"/>
  <c r="P7" i="7"/>
  <c r="R7" i="7" s="1"/>
  <c r="Q7" i="7"/>
  <c r="O8" i="7"/>
  <c r="F49" i="3"/>
  <c r="F50" i="3"/>
  <c r="G49" i="3"/>
  <c r="G50" i="3"/>
  <c r="B46" i="3"/>
  <c r="E46" i="3"/>
  <c r="D46" i="3"/>
  <c r="B45" i="3"/>
  <c r="E45" i="3"/>
  <c r="D45" i="3"/>
  <c r="G46" i="3"/>
  <c r="F46" i="3"/>
  <c r="C46" i="3"/>
  <c r="G45" i="3"/>
  <c r="C45" i="3"/>
  <c r="F45" i="3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I4" i="9" l="1"/>
  <c r="I3" i="9"/>
  <c r="AI8" i="7"/>
  <c r="AK8" i="7" s="1"/>
  <c r="AJ8" i="7"/>
  <c r="AH9" i="7"/>
  <c r="P8" i="7"/>
  <c r="R8" i="7" s="1"/>
  <c r="Q8" i="7"/>
  <c r="O9" i="7"/>
  <c r="AI9" i="7" l="1"/>
  <c r="AK9" i="7" s="1"/>
  <c r="AJ9" i="7"/>
  <c r="AH10" i="7"/>
  <c r="P9" i="7"/>
  <c r="R9" i="7" s="1"/>
  <c r="Q9" i="7"/>
  <c r="O10" i="7"/>
  <c r="AI10" i="7" l="1"/>
  <c r="AK10" i="7" s="1"/>
  <c r="AJ10" i="7"/>
  <c r="AH11" i="7"/>
  <c r="P10" i="7"/>
  <c r="R10" i="7" s="1"/>
  <c r="Q10" i="7"/>
  <c r="O11" i="7"/>
  <c r="AI11" i="7" l="1"/>
  <c r="AK11" i="7" s="1"/>
  <c r="AJ11" i="7"/>
  <c r="AH12" i="7"/>
  <c r="P11" i="7"/>
  <c r="R11" i="7" s="1"/>
  <c r="Q11" i="7"/>
  <c r="O12" i="7"/>
  <c r="AI12" i="7" l="1"/>
  <c r="AK12" i="7" s="1"/>
  <c r="AJ12" i="7"/>
  <c r="AH13" i="7"/>
  <c r="P12" i="7"/>
  <c r="R12" i="7" s="1"/>
  <c r="Q12" i="7"/>
  <c r="O13" i="7"/>
  <c r="AI13" i="7" l="1"/>
  <c r="AK13" i="7" s="1"/>
  <c r="AJ13" i="7"/>
  <c r="AH14" i="7"/>
  <c r="P13" i="7"/>
  <c r="R13" i="7" s="1"/>
  <c r="Q13" i="7"/>
  <c r="O14" i="7"/>
  <c r="AI14" i="7" l="1"/>
  <c r="AK14" i="7" s="1"/>
  <c r="AJ14" i="7"/>
  <c r="AH15" i="7"/>
  <c r="P14" i="7"/>
  <c r="R14" i="7" s="1"/>
  <c r="Q14" i="7"/>
  <c r="O15" i="7"/>
  <c r="AI15" i="7" l="1"/>
  <c r="AK15" i="7" s="1"/>
  <c r="AJ15" i="7"/>
  <c r="AH16" i="7"/>
  <c r="P15" i="7"/>
  <c r="R15" i="7" s="1"/>
  <c r="Q15" i="7"/>
  <c r="O16" i="7"/>
  <c r="AI16" i="7" l="1"/>
  <c r="AK16" i="7" s="1"/>
  <c r="AJ16" i="7"/>
  <c r="AH17" i="7"/>
  <c r="P16" i="7"/>
  <c r="R16" i="7" s="1"/>
  <c r="Q16" i="7"/>
  <c r="O17" i="7"/>
  <c r="AI17" i="7" l="1"/>
  <c r="AK17" i="7" s="1"/>
  <c r="AJ17" i="7"/>
  <c r="AH18" i="7"/>
  <c r="P17" i="7"/>
  <c r="R17" i="7" s="1"/>
  <c r="Q17" i="7"/>
  <c r="O18" i="7"/>
  <c r="AI18" i="7" l="1"/>
  <c r="AK18" i="7" s="1"/>
  <c r="AJ18" i="7"/>
  <c r="AH19" i="7"/>
  <c r="P18" i="7"/>
  <c r="R18" i="7" s="1"/>
  <c r="Q18" i="7"/>
  <c r="O19" i="7"/>
  <c r="AI19" i="7" l="1"/>
  <c r="AK19" i="7" s="1"/>
  <c r="AJ19" i="7"/>
  <c r="AH20" i="7"/>
  <c r="P19" i="7"/>
  <c r="R19" i="7" s="1"/>
  <c r="Q19" i="7"/>
  <c r="O20" i="7"/>
  <c r="AI20" i="7" l="1"/>
  <c r="AK20" i="7" s="1"/>
  <c r="AJ20" i="7"/>
  <c r="AH21" i="7"/>
  <c r="P20" i="7"/>
  <c r="R20" i="7" s="1"/>
  <c r="Q20" i="7"/>
  <c r="O21" i="7"/>
  <c r="AI21" i="7" l="1"/>
  <c r="AK21" i="7" s="1"/>
  <c r="AJ21" i="7"/>
  <c r="AH22" i="7"/>
  <c r="P21" i="7"/>
  <c r="R21" i="7" s="1"/>
  <c r="Q21" i="7"/>
  <c r="O22" i="7"/>
  <c r="AI22" i="7" l="1"/>
  <c r="AK22" i="7" s="1"/>
  <c r="AJ22" i="7"/>
  <c r="AH23" i="7"/>
  <c r="P22" i="7"/>
  <c r="R22" i="7" s="1"/>
  <c r="Q22" i="7"/>
  <c r="O23" i="7"/>
  <c r="AI23" i="7" l="1"/>
  <c r="AK23" i="7" s="1"/>
  <c r="AJ23" i="7"/>
  <c r="AH24" i="7"/>
  <c r="P23" i="7"/>
  <c r="R23" i="7" s="1"/>
  <c r="Q23" i="7"/>
  <c r="O24" i="7"/>
  <c r="AJ24" i="7" l="1"/>
  <c r="AH25" i="7"/>
  <c r="AI24" i="7"/>
  <c r="AK24" i="7" s="1"/>
  <c r="P24" i="7"/>
  <c r="R24" i="7" s="1"/>
  <c r="Q24" i="7"/>
  <c r="O25" i="7"/>
  <c r="AI25" i="7" l="1"/>
  <c r="AK25" i="7" s="1"/>
  <c r="AJ25" i="7"/>
  <c r="AH26" i="7"/>
  <c r="P25" i="7"/>
  <c r="R25" i="7" s="1"/>
  <c r="Q25" i="7"/>
  <c r="O26" i="7"/>
  <c r="AI26" i="7" l="1"/>
  <c r="AK26" i="7" s="1"/>
  <c r="AJ26" i="7"/>
  <c r="AH27" i="7"/>
  <c r="P26" i="7"/>
  <c r="R26" i="7" s="1"/>
  <c r="Q26" i="7"/>
  <c r="O27" i="7"/>
  <c r="AI27" i="7" l="1"/>
  <c r="AK27" i="7" s="1"/>
  <c r="AJ27" i="7"/>
  <c r="AH28" i="7"/>
  <c r="P27" i="7"/>
  <c r="R27" i="7" s="1"/>
  <c r="Q27" i="7"/>
  <c r="O28" i="7"/>
  <c r="AI28" i="7" l="1"/>
  <c r="AK28" i="7" s="1"/>
  <c r="AJ28" i="7"/>
  <c r="AH29" i="7"/>
  <c r="P28" i="7"/>
  <c r="R28" i="7" s="1"/>
  <c r="Q28" i="7"/>
  <c r="O29" i="7"/>
  <c r="AI29" i="7" l="1"/>
  <c r="AK29" i="7" s="1"/>
  <c r="AJ29" i="7"/>
  <c r="AH30" i="7"/>
  <c r="P29" i="7"/>
  <c r="R29" i="7" s="1"/>
  <c r="Q29" i="7"/>
  <c r="O30" i="7"/>
  <c r="AI30" i="7" l="1"/>
  <c r="AK30" i="7" s="1"/>
  <c r="AJ30" i="7"/>
  <c r="AH31" i="7"/>
  <c r="P30" i="7"/>
  <c r="R30" i="7" s="1"/>
  <c r="Q30" i="7"/>
  <c r="O31" i="7"/>
  <c r="AI31" i="7" l="1"/>
  <c r="AK31" i="7" s="1"/>
  <c r="AJ31" i="7"/>
  <c r="AH32" i="7"/>
  <c r="P31" i="7"/>
  <c r="R31" i="7" s="1"/>
  <c r="Q31" i="7"/>
  <c r="O32" i="7"/>
  <c r="AI32" i="7" l="1"/>
  <c r="AK32" i="7" s="1"/>
  <c r="AJ32" i="7"/>
  <c r="AH33" i="7"/>
  <c r="P32" i="7"/>
  <c r="R32" i="7" s="1"/>
  <c r="Q32" i="7"/>
  <c r="O33" i="7"/>
  <c r="AI33" i="7" l="1"/>
  <c r="AK33" i="7" s="1"/>
  <c r="AJ33" i="7"/>
  <c r="AH34" i="7"/>
  <c r="P33" i="7"/>
  <c r="R33" i="7" s="1"/>
  <c r="Q33" i="7"/>
  <c r="O34" i="7"/>
  <c r="AI34" i="7" l="1"/>
  <c r="AK34" i="7" s="1"/>
  <c r="AJ34" i="7"/>
  <c r="AH35" i="7"/>
  <c r="P34" i="7"/>
  <c r="R34" i="7" s="1"/>
  <c r="Q34" i="7"/>
  <c r="O35" i="7"/>
  <c r="AI35" i="7" l="1"/>
  <c r="AK35" i="7" s="1"/>
  <c r="AJ35" i="7"/>
  <c r="AH36" i="7"/>
  <c r="P35" i="7"/>
  <c r="R35" i="7" s="1"/>
  <c r="Q35" i="7"/>
  <c r="O36" i="7"/>
  <c r="AI36" i="7" l="1"/>
  <c r="AK36" i="7" s="1"/>
  <c r="AJ36" i="7"/>
  <c r="AH37" i="7"/>
  <c r="P36" i="7"/>
  <c r="R36" i="7" s="1"/>
  <c r="Q36" i="7"/>
  <c r="O37" i="7"/>
  <c r="AI37" i="7" l="1"/>
  <c r="AK37" i="7" s="1"/>
  <c r="AJ37" i="7"/>
  <c r="AH38" i="7"/>
  <c r="P37" i="7"/>
  <c r="R37" i="7" s="1"/>
  <c r="Q37" i="7"/>
  <c r="O38" i="7"/>
  <c r="AI38" i="7" l="1"/>
  <c r="AK38" i="7" s="1"/>
  <c r="AJ38" i="7"/>
  <c r="AH39" i="7"/>
  <c r="P38" i="7"/>
  <c r="R38" i="7" s="1"/>
  <c r="Q38" i="7"/>
  <c r="O39" i="7"/>
  <c r="AI39" i="7" l="1"/>
  <c r="AK39" i="7" s="1"/>
  <c r="AJ39" i="7"/>
  <c r="AH40" i="7"/>
  <c r="P39" i="7"/>
  <c r="R39" i="7" s="1"/>
  <c r="Q39" i="7"/>
  <c r="O40" i="7"/>
  <c r="AJ40" i="7" l="1"/>
  <c r="AI40" i="7"/>
  <c r="AK40" i="7" s="1"/>
  <c r="AH41" i="7"/>
  <c r="P40" i="7"/>
  <c r="R40" i="7" s="1"/>
  <c r="Q40" i="7"/>
  <c r="O41" i="7"/>
  <c r="AJ41" i="7" l="1"/>
  <c r="AI41" i="7"/>
  <c r="AK41" i="7" s="1"/>
  <c r="AH42" i="7"/>
  <c r="Q41" i="7"/>
  <c r="P41" i="7"/>
  <c r="R41" i="7" s="1"/>
  <c r="O42" i="7"/>
  <c r="AJ42" i="7" l="1"/>
  <c r="AH43" i="7"/>
  <c r="AI42" i="7"/>
  <c r="AK42" i="7" s="1"/>
  <c r="Q42" i="7"/>
  <c r="P42" i="7"/>
  <c r="R42" i="7" s="1"/>
  <c r="O43" i="7"/>
  <c r="AI43" i="7" l="1"/>
  <c r="AK43" i="7" s="1"/>
  <c r="AJ43" i="7"/>
  <c r="AH44" i="7"/>
  <c r="P43" i="7"/>
  <c r="R43" i="7" s="1"/>
  <c r="O44" i="7"/>
  <c r="Q43" i="7"/>
  <c r="AI44" i="7" l="1"/>
  <c r="AK44" i="7" s="1"/>
  <c r="AJ44" i="7"/>
  <c r="AH45" i="7"/>
  <c r="P44" i="7"/>
  <c r="R44" i="7" s="1"/>
  <c r="O45" i="7"/>
  <c r="Q44" i="7"/>
  <c r="AI45" i="7" l="1"/>
  <c r="AK45" i="7" s="1"/>
  <c r="AJ45" i="7"/>
  <c r="AH46" i="7"/>
  <c r="P45" i="7"/>
  <c r="R45" i="7" s="1"/>
  <c r="Q45" i="7"/>
  <c r="O46" i="7"/>
  <c r="AI46" i="7" l="1"/>
  <c r="AK46" i="7" s="1"/>
  <c r="AJ46" i="7"/>
  <c r="AH47" i="7"/>
  <c r="P46" i="7"/>
  <c r="R46" i="7" s="1"/>
  <c r="Q46" i="7"/>
  <c r="O47" i="7"/>
  <c r="AI47" i="7" l="1"/>
  <c r="AK47" i="7" s="1"/>
  <c r="AJ47" i="7"/>
  <c r="AH48" i="7"/>
  <c r="P47" i="7"/>
  <c r="R47" i="7" s="1"/>
  <c r="Q47" i="7"/>
  <c r="O48" i="7"/>
  <c r="AI48" i="7" l="1"/>
  <c r="AK48" i="7" s="1"/>
  <c r="AJ48" i="7"/>
  <c r="AH49" i="7"/>
  <c r="P48" i="7"/>
  <c r="R48" i="7" s="1"/>
  <c r="Q48" i="7"/>
  <c r="O49" i="7"/>
  <c r="AI49" i="7" l="1"/>
  <c r="AK49" i="7" s="1"/>
  <c r="AJ49" i="7"/>
  <c r="AH50" i="7"/>
  <c r="P49" i="7"/>
  <c r="R49" i="7" s="1"/>
  <c r="Q49" i="7"/>
  <c r="O50" i="7"/>
  <c r="AI50" i="7" l="1"/>
  <c r="AK50" i="7" s="1"/>
  <c r="AJ50" i="7"/>
  <c r="AH51" i="7"/>
  <c r="P50" i="7"/>
  <c r="R50" i="7" s="1"/>
  <c r="Q50" i="7"/>
  <c r="O51" i="7"/>
  <c r="AI51" i="7" l="1"/>
  <c r="AK51" i="7" s="1"/>
  <c r="AJ51" i="7"/>
  <c r="AH52" i="7"/>
  <c r="P51" i="7"/>
  <c r="R51" i="7" s="1"/>
  <c r="Q51" i="7"/>
  <c r="O52" i="7"/>
  <c r="AI52" i="7" l="1"/>
  <c r="AK52" i="7" s="1"/>
  <c r="AJ52" i="7"/>
  <c r="AH53" i="7"/>
  <c r="P52" i="7"/>
  <c r="R52" i="7" s="1"/>
  <c r="Q52" i="7"/>
  <c r="O53" i="7"/>
  <c r="AI53" i="7" l="1"/>
  <c r="AK53" i="7" s="1"/>
  <c r="AJ53" i="7"/>
  <c r="AH54" i="7"/>
  <c r="P53" i="7"/>
  <c r="R53" i="7" s="1"/>
  <c r="Q53" i="7"/>
  <c r="O54" i="7"/>
  <c r="AI54" i="7" l="1"/>
  <c r="AK54" i="7" s="1"/>
  <c r="AJ54" i="7"/>
  <c r="AH55" i="7"/>
  <c r="P54" i="7"/>
  <c r="R54" i="7" s="1"/>
  <c r="Q54" i="7"/>
  <c r="O55" i="7"/>
  <c r="AI55" i="7" l="1"/>
  <c r="AK55" i="7" s="1"/>
  <c r="AJ55" i="7"/>
  <c r="AH56" i="7"/>
  <c r="P55" i="7"/>
  <c r="R55" i="7" s="1"/>
  <c r="Q55" i="7"/>
  <c r="O56" i="7"/>
  <c r="AI56" i="7" l="1"/>
  <c r="AK56" i="7" s="1"/>
  <c r="AJ56" i="7"/>
  <c r="AH57" i="7"/>
  <c r="P56" i="7"/>
  <c r="R56" i="7" s="1"/>
  <c r="Q56" i="7"/>
  <c r="O57" i="7"/>
  <c r="AI57" i="7" l="1"/>
  <c r="AK57" i="7" s="1"/>
  <c r="AJ57" i="7"/>
  <c r="AH58" i="7"/>
  <c r="P57" i="7"/>
  <c r="R57" i="7" s="1"/>
  <c r="Q57" i="7"/>
  <c r="O58" i="7"/>
  <c r="AI58" i="7" l="1"/>
  <c r="AK58" i="7" s="1"/>
  <c r="AJ58" i="7"/>
  <c r="AH59" i="7"/>
  <c r="P58" i="7"/>
  <c r="R58" i="7" s="1"/>
  <c r="Q58" i="7"/>
  <c r="O59" i="7"/>
  <c r="AI59" i="7" l="1"/>
  <c r="AK59" i="7" s="1"/>
  <c r="AJ59" i="7"/>
  <c r="AH60" i="7"/>
  <c r="P59" i="7"/>
  <c r="R59" i="7" s="1"/>
  <c r="Q59" i="7"/>
  <c r="O60" i="7"/>
  <c r="AI60" i="7" l="1"/>
  <c r="AK60" i="7" s="1"/>
  <c r="AJ60" i="7"/>
  <c r="AH61" i="7"/>
  <c r="P60" i="7"/>
  <c r="R60" i="7" s="1"/>
  <c r="Q60" i="7"/>
  <c r="O61" i="7"/>
  <c r="AI61" i="7" l="1"/>
  <c r="AK61" i="7" s="1"/>
  <c r="AJ61" i="7"/>
  <c r="AH62" i="7"/>
  <c r="P61" i="7"/>
  <c r="R61" i="7" s="1"/>
  <c r="Q61" i="7"/>
  <c r="O62" i="7"/>
  <c r="AI62" i="7" l="1"/>
  <c r="AK62" i="7" s="1"/>
  <c r="AJ62" i="7"/>
  <c r="AH63" i="7"/>
  <c r="P62" i="7"/>
  <c r="R62" i="7" s="1"/>
  <c r="Q62" i="7"/>
  <c r="O63" i="7"/>
  <c r="AI63" i="7" l="1"/>
  <c r="AK63" i="7" s="1"/>
  <c r="AJ63" i="7"/>
  <c r="AH64" i="7"/>
  <c r="P63" i="7"/>
  <c r="R63" i="7" s="1"/>
  <c r="Q63" i="7"/>
  <c r="O64" i="7"/>
  <c r="AI64" i="7" l="1"/>
  <c r="AK64" i="7" s="1"/>
  <c r="AL5" i="7" s="1"/>
  <c r="AJ64" i="7"/>
  <c r="P64" i="7"/>
  <c r="R64" i="7" s="1"/>
  <c r="S5" i="7" s="1"/>
  <c r="Q6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<sst xmlns="http://schemas.openxmlformats.org/spreadsheetml/2006/main" count="1721" uniqueCount="176">
  <si>
    <t>id</t>
  </si>
  <si>
    <t>username</t>
  </si>
  <si>
    <t>is_impostor</t>
  </si>
  <si>
    <t>keystroke_result</t>
  </si>
  <si>
    <t>graphical_result</t>
  </si>
  <si>
    <t>mouse_result</t>
  </si>
  <si>
    <t>final_result</t>
  </si>
  <si>
    <t>login_time_seconds</t>
  </si>
  <si>
    <t>keystroke_time</t>
  </si>
  <si>
    <t>graphical_time</t>
  </si>
  <si>
    <t>mouse_time</t>
  </si>
  <si>
    <t>login_attempt_number</t>
  </si>
  <si>
    <t>backup_used</t>
  </si>
  <si>
    <t>prompt_match</t>
  </si>
  <si>
    <t>graphical_selected_animal</t>
  </si>
  <si>
    <t>graphical_selected_colour</t>
  </si>
  <si>
    <t>keystroke_avg_z</t>
  </si>
  <si>
    <t>keystroke_max_z</t>
  </si>
  <si>
    <t>keystroke_similarity</t>
  </si>
  <si>
    <t>mouse_avg_z</t>
  </si>
  <si>
    <t>mouse_max_z</t>
  </si>
  <si>
    <t>mouse_similarity</t>
  </si>
  <si>
    <t>FAR</t>
  </si>
  <si>
    <t>FRR</t>
  </si>
  <si>
    <t>TAR</t>
  </si>
  <si>
    <t>TRR</t>
  </si>
  <si>
    <t>joshua</t>
  </si>
  <si>
    <t>logged in</t>
  </si>
  <si>
    <t>not logged in</t>
  </si>
  <si>
    <t>dog</t>
  </si>
  <si>
    <t>red</t>
  </si>
  <si>
    <t>pink</t>
  </si>
  <si>
    <t>mara</t>
  </si>
  <si>
    <t>bird</t>
  </si>
  <si>
    <t>green</t>
  </si>
  <si>
    <t>mihai</t>
  </si>
  <si>
    <t>frog</t>
  </si>
  <si>
    <t>blue</t>
  </si>
  <si>
    <t>fizza</t>
  </si>
  <si>
    <t>dee1</t>
  </si>
  <si>
    <t>rabbit</t>
  </si>
  <si>
    <t>keystroke_pass</t>
  </si>
  <si>
    <t>graphical_pass</t>
  </si>
  <si>
    <t>mouse_pass</t>
  </si>
  <si>
    <t>final_pass</t>
  </si>
  <si>
    <t>genuine_flag</t>
  </si>
  <si>
    <t>impostor_flag</t>
  </si>
  <si>
    <t>strict_3_gat_pass</t>
  </si>
  <si>
    <t>weighted_pass</t>
  </si>
  <si>
    <t>participant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</si>
  <si>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</si>
  <si>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</si>
  <si>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</si>
  <si>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</si>
  <si>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</si>
  <si>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</si>
  <si>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</si>
  <si>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</si>
  <si>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</si>
  <si>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</si>
  <si>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</si>
  <si>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</si>
  <si>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</si>
  <si>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</si>
  <si>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</si>
  <si>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</si>
  <si>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overall_score</t>
  </si>
  <si>
    <t>SYSUSE</t>
  </si>
  <si>
    <t>INFOQUAL</t>
  </si>
  <si>
    <t>INTERQUAL</t>
  </si>
  <si>
    <t>Metric</t>
  </si>
  <si>
    <t>Value</t>
  </si>
  <si>
    <t>Participants</t>
  </si>
  <si>
    <t>Genuine Attempts</t>
  </si>
  <si>
    <t>Impostor Attempts</t>
  </si>
  <si>
    <t>Total Attempts</t>
  </si>
  <si>
    <t>Same-Setup Participants</t>
  </si>
  <si>
    <t>Dataset Summary</t>
  </si>
  <si>
    <t>Keystroke Summary</t>
  </si>
  <si>
    <t>Genuine</t>
  </si>
  <si>
    <t>Impostor</t>
  </si>
  <si>
    <t>Graphical Summary</t>
  </si>
  <si>
    <t>Pass Count</t>
  </si>
  <si>
    <t>Fail Count</t>
  </si>
  <si>
    <t>Pass Rate</t>
  </si>
  <si>
    <t>Mouse Summary</t>
  </si>
  <si>
    <t>Avg avg_z</t>
  </si>
  <si>
    <t>Avg max_z</t>
  </si>
  <si>
    <t>Avg similarity</t>
  </si>
  <si>
    <t>Multi Modal Summary</t>
  </si>
  <si>
    <t>Rule</t>
  </si>
  <si>
    <t>Genuine Pass Rate</t>
  </si>
  <si>
    <t>Impostor Pass Rate</t>
  </si>
  <si>
    <t>Strict 3-Gate</t>
  </si>
  <si>
    <t>Weighted Rule</t>
  </si>
  <si>
    <t>Time Summary</t>
  </si>
  <si>
    <t>Average Total Login Time</t>
  </si>
  <si>
    <t>Average Keystroke Time</t>
  </si>
  <si>
    <t>Average Graphical Time</t>
  </si>
  <si>
    <t>Average Mouse Time</t>
  </si>
  <si>
    <t xml:space="preserve">Scale </t>
  </si>
  <si>
    <t>Mean Score</t>
  </si>
  <si>
    <t>PSSUQ Sumamry</t>
  </si>
  <si>
    <t>Overall</t>
  </si>
  <si>
    <t>natasha</t>
  </si>
  <si>
    <t>ben</t>
  </si>
  <si>
    <t>karishma</t>
  </si>
  <si>
    <t>dee</t>
  </si>
  <si>
    <t>Pre-testing Participants</t>
  </si>
  <si>
    <t>strict_3_gate_pass</t>
  </si>
  <si>
    <t>Ben</t>
  </si>
  <si>
    <t>cat</t>
  </si>
  <si>
    <t>natashaar</t>
  </si>
  <si>
    <t>Impostor Avg_Z</t>
  </si>
  <si>
    <t>Genuine_avg_z</t>
  </si>
  <si>
    <t>GRAPH1</t>
  </si>
  <si>
    <t>GRAPH2</t>
  </si>
  <si>
    <t>GRAPH3</t>
  </si>
  <si>
    <t>GRAPH4</t>
  </si>
  <si>
    <t>GRAPH5</t>
  </si>
  <si>
    <t>Keystroke</t>
  </si>
  <si>
    <t>Graphical</t>
  </si>
  <si>
    <t>Mouse</t>
  </si>
  <si>
    <t>Average Time</t>
  </si>
  <si>
    <t>Threshold</t>
  </si>
  <si>
    <t>Difference</t>
  </si>
  <si>
    <t>Row min</t>
  </si>
  <si>
    <t>max-z eer</t>
  </si>
  <si>
    <t>avg-z eer</t>
  </si>
  <si>
    <t>Genuine Avg_Z</t>
  </si>
  <si>
    <t>Genuine keystroke_similarity</t>
  </si>
  <si>
    <t>Impostor keystroke_similarity</t>
  </si>
  <si>
    <t>Impostor mouse_avg_z</t>
  </si>
  <si>
    <t>Impostor mouse_max_z</t>
  </si>
  <si>
    <t>Impostor mouse_similarity</t>
  </si>
  <si>
    <t>Genuine mouse_avg_z</t>
  </si>
  <si>
    <t>Genuine mouse_max_z</t>
  </si>
  <si>
    <t>Genuine mouse_similarity</t>
  </si>
  <si>
    <t>Modality</t>
  </si>
  <si>
    <t>Participant</t>
  </si>
  <si>
    <t>Weighted</t>
  </si>
  <si>
    <t>P1</t>
  </si>
  <si>
    <t>P2</t>
  </si>
  <si>
    <t>P3</t>
  </si>
  <si>
    <t>P4</t>
  </si>
  <si>
    <t>P5</t>
  </si>
  <si>
    <t>System</t>
  </si>
  <si>
    <t>Genuine Max_Z</t>
  </si>
  <si>
    <t>impostor Max_Z</t>
  </si>
  <si>
    <t>Impostor Max_Z</t>
  </si>
  <si>
    <t>jenson</t>
  </si>
  <si>
    <t>P6</t>
  </si>
  <si>
    <t>Genuine Similarity</t>
  </si>
  <si>
    <t>Impostor Similairty</t>
  </si>
  <si>
    <t>Gao et al.</t>
  </si>
  <si>
    <t>Bohuk et al.</t>
  </si>
  <si>
    <t>Average keystroke time</t>
  </si>
  <si>
    <t>Average graphical time</t>
  </si>
  <si>
    <t>Average mouse time</t>
  </si>
  <si>
    <t>tries_to_success</t>
  </si>
  <si>
    <t>successful_genuine</t>
  </si>
  <si>
    <t>genuine_success_with_retry</t>
  </si>
  <si>
    <t>prompt_error</t>
  </si>
  <si>
    <t>Password Baseline Value</t>
  </si>
  <si>
    <t>Source</t>
  </si>
  <si>
    <t>Daily-use login success rate</t>
  </si>
  <si>
    <t>Successful login time, lower-strength password</t>
  </si>
  <si>
    <t>13.78 seconds</t>
  </si>
  <si>
    <t>Successful login time, higher-strength password</t>
  </si>
  <si>
    <t>18.03 seconds</t>
  </si>
  <si>
    <t>Successful sessions needing more than one attempt</t>
  </si>
  <si>
    <t>Genuine login success rate</t>
  </si>
  <si>
    <t>Average genuine login time</t>
  </si>
  <si>
    <t>Successful genuine logins needing more than one attempt</t>
  </si>
  <si>
    <t>Average tries before successful genuine login</t>
  </si>
  <si>
    <t>Genuine first-attempt 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</si>
</sst>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%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0"/>
      <name val="Arial Unicode MS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4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10" fontId="0" fillId="0" borderId="0" xfId="0" applyNumberFormat="1"/>
    <xf numFmtId="0" fontId="0" fillId="4" borderId="0" xfId="0" applyFill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3" xfId="0" applyFont="1" applyFill="1" applyBorder="1"/>
    <xf numFmtId="164" fontId="0" fillId="4" borderId="0" xfId="0" applyNumberFormat="1" applyFill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66" fontId="0" fillId="0" borderId="0" xfId="0" applyNumberFormat="1"/>
  </cellXfs>
  <cellStyles count="1">
    <cellStyle name="Normal" xfId="0" builtinId="0"/>
  </cellStyles>
  <dxfs count="2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Unicode MS"/>
        <scheme val="none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</dxfs>
  <tableStyles count="0" defaultTableStyle="TableStyleMedium2" defaultPivotStyle="PivotStyleLight16"/>
  <colors>
    <mruColors>
      <color rgb="FFFF33CC"/>
      <color rgb="FF66FFFF"/>
      <color rgb="FFFF9933"/>
      <color rgb="FF66FF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Mouse: Genuine Vs Impostor Avg_Z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mouse_2!$E$1</c:f>
              <c:strCache>
                <c:ptCount val="1"/>
                <c:pt idx="0">
                  <c:v>Genuine mouse_avg_z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mouse_2!$D$2:$D$61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mouse_2!$E$2:$E$61</c:f>
              <c:numCache>
                <c:formatCode>General</c:formatCode>
                <c:ptCount val="60"/>
                <c:pt idx="0">
                  <c:v>0.55900000000000005</c:v>
                </c:pt>
                <c:pt idx="1">
                  <c:v>0.67800000000000005</c:v>
                </c:pt>
                <c:pt idx="2">
                  <c:v>0.59699999999999998</c:v>
                </c:pt>
                <c:pt idx="3">
                  <c:v>0.61599999999999999</c:v>
                </c:pt>
                <c:pt idx="4">
                  <c:v>0.55800000000000005</c:v>
                </c:pt>
                <c:pt idx="5">
                  <c:v>0.65500000000000003</c:v>
                </c:pt>
                <c:pt idx="6">
                  <c:v>0.57699999999999996</c:v>
                </c:pt>
                <c:pt idx="7">
                  <c:v>0.53100000000000003</c:v>
                </c:pt>
                <c:pt idx="8">
                  <c:v>0.57199999999999995</c:v>
                </c:pt>
                <c:pt idx="9">
                  <c:v>0.70299999999999996</c:v>
                </c:pt>
                <c:pt idx="10">
                  <c:v>0.48</c:v>
                </c:pt>
                <c:pt idx="11">
                  <c:v>0.54200000000000004</c:v>
                </c:pt>
                <c:pt idx="12">
                  <c:v>0.94699999999999995</c:v>
                </c:pt>
                <c:pt idx="13">
                  <c:v>2.9129999999999998</c:v>
                </c:pt>
                <c:pt idx="14">
                  <c:v>1.569</c:v>
                </c:pt>
                <c:pt idx="15">
                  <c:v>1.087</c:v>
                </c:pt>
                <c:pt idx="16">
                  <c:v>0.752</c:v>
                </c:pt>
                <c:pt idx="17">
                  <c:v>1.204</c:v>
                </c:pt>
                <c:pt idx="18">
                  <c:v>1.262</c:v>
                </c:pt>
                <c:pt idx="19">
                  <c:v>0.88300000000000001</c:v>
                </c:pt>
                <c:pt idx="20">
                  <c:v>0.71499999999999997</c:v>
                </c:pt>
                <c:pt idx="21">
                  <c:v>0.65100000000000002</c:v>
                </c:pt>
                <c:pt idx="22">
                  <c:v>1.8069999999999999</c:v>
                </c:pt>
                <c:pt idx="23">
                  <c:v>1.5069999999999999</c:v>
                </c:pt>
                <c:pt idx="24">
                  <c:v>0.69499999999999995</c:v>
                </c:pt>
                <c:pt idx="25">
                  <c:v>1.036</c:v>
                </c:pt>
                <c:pt idx="26">
                  <c:v>1.8240000000000001</c:v>
                </c:pt>
                <c:pt idx="27">
                  <c:v>3.302</c:v>
                </c:pt>
                <c:pt idx="28">
                  <c:v>0.88700000000000001</c:v>
                </c:pt>
                <c:pt idx="29">
                  <c:v>1.248</c:v>
                </c:pt>
                <c:pt idx="30">
                  <c:v>0.60699999999999998</c:v>
                </c:pt>
                <c:pt idx="31">
                  <c:v>1.2010000000000001</c:v>
                </c:pt>
                <c:pt idx="32">
                  <c:v>2.452</c:v>
                </c:pt>
                <c:pt idx="33">
                  <c:v>1.821</c:v>
                </c:pt>
                <c:pt idx="34">
                  <c:v>1.2849999999999999</c:v>
                </c:pt>
                <c:pt idx="35">
                  <c:v>2.1469999999999998</c:v>
                </c:pt>
                <c:pt idx="36">
                  <c:v>1.272</c:v>
                </c:pt>
                <c:pt idx="37">
                  <c:v>0.495</c:v>
                </c:pt>
                <c:pt idx="38">
                  <c:v>1.056</c:v>
                </c:pt>
                <c:pt idx="39">
                  <c:v>1.5820000000000001</c:v>
                </c:pt>
                <c:pt idx="40">
                  <c:v>2.7530000000000001</c:v>
                </c:pt>
                <c:pt idx="41">
                  <c:v>1.996</c:v>
                </c:pt>
                <c:pt idx="42">
                  <c:v>0.38600000000000001</c:v>
                </c:pt>
                <c:pt idx="43">
                  <c:v>1.256</c:v>
                </c:pt>
                <c:pt idx="44">
                  <c:v>0.76200000000000001</c:v>
                </c:pt>
                <c:pt idx="45">
                  <c:v>0.64900000000000002</c:v>
                </c:pt>
                <c:pt idx="46">
                  <c:v>0.371</c:v>
                </c:pt>
                <c:pt idx="47">
                  <c:v>0.66600000000000004</c:v>
                </c:pt>
                <c:pt idx="48">
                  <c:v>0.66600000000000004</c:v>
                </c:pt>
                <c:pt idx="49">
                  <c:v>0.52300000000000002</c:v>
                </c:pt>
                <c:pt idx="50">
                  <c:v>0.86699999999999999</c:v>
                </c:pt>
                <c:pt idx="51">
                  <c:v>0.69699999999999995</c:v>
                </c:pt>
                <c:pt idx="52">
                  <c:v>0.754</c:v>
                </c:pt>
                <c:pt idx="53">
                  <c:v>0.77500000000000002</c:v>
                </c:pt>
                <c:pt idx="54">
                  <c:v>1.151</c:v>
                </c:pt>
                <c:pt idx="55">
                  <c:v>0.77500000000000002</c:v>
                </c:pt>
                <c:pt idx="56">
                  <c:v>0.77100000000000002</c:v>
                </c:pt>
                <c:pt idx="57">
                  <c:v>0.86699999999999999</c:v>
                </c:pt>
                <c:pt idx="58">
                  <c:v>0.76300000000000001</c:v>
                </c:pt>
                <c:pt idx="59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45-45C5-806C-53A671DCD597}"/>
            </c:ext>
          </c:extLst>
        </c:ser>
        <c:ser>
          <c:idx val="1"/>
          <c:order val="1"/>
          <c:tx>
            <c:strRef>
              <c:f>mouse_2!$F$1</c:f>
              <c:strCache>
                <c:ptCount val="1"/>
                <c:pt idx="0">
                  <c:v>Impostor mouse_avg_z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mouse_2!$D$2:$D$61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mouse_2!$F$2:$F$61</c:f>
              <c:numCache>
                <c:formatCode>General</c:formatCode>
                <c:ptCount val="60"/>
                <c:pt idx="0">
                  <c:v>0.41199999999999998</c:v>
                </c:pt>
                <c:pt idx="1">
                  <c:v>0.68200000000000005</c:v>
                </c:pt>
                <c:pt idx="2">
                  <c:v>0.77300000000000002</c:v>
                </c:pt>
                <c:pt idx="3">
                  <c:v>0.28999999999999998</c:v>
                </c:pt>
                <c:pt idx="4">
                  <c:v>0.504</c:v>
                </c:pt>
                <c:pt idx="5">
                  <c:v>0.38200000000000001</c:v>
                </c:pt>
                <c:pt idx="6">
                  <c:v>0.86199999999999999</c:v>
                </c:pt>
                <c:pt idx="7">
                  <c:v>0.85099999999999998</c:v>
                </c:pt>
                <c:pt idx="8">
                  <c:v>1.1000000000000001</c:v>
                </c:pt>
                <c:pt idx="9">
                  <c:v>1.1879999999999999</c:v>
                </c:pt>
                <c:pt idx="10">
                  <c:v>3.2879999999999998</c:v>
                </c:pt>
                <c:pt idx="11">
                  <c:v>4.3259999999999996</c:v>
                </c:pt>
                <c:pt idx="12">
                  <c:v>1.3080000000000001</c:v>
                </c:pt>
                <c:pt idx="13">
                  <c:v>1.9950000000000001</c:v>
                </c:pt>
                <c:pt idx="14">
                  <c:v>1.17</c:v>
                </c:pt>
                <c:pt idx="15">
                  <c:v>1.3080000000000001</c:v>
                </c:pt>
                <c:pt idx="16">
                  <c:v>3.3879999999999999</c:v>
                </c:pt>
                <c:pt idx="17">
                  <c:v>3.2879999999999998</c:v>
                </c:pt>
                <c:pt idx="18">
                  <c:v>4.6360000000000001</c:v>
                </c:pt>
                <c:pt idx="19">
                  <c:v>3.101</c:v>
                </c:pt>
                <c:pt idx="20">
                  <c:v>4.7309999999999999</c:v>
                </c:pt>
                <c:pt idx="21">
                  <c:v>0.93100000000000005</c:v>
                </c:pt>
                <c:pt idx="22">
                  <c:v>3.6960000000000002</c:v>
                </c:pt>
                <c:pt idx="23">
                  <c:v>4.7309999999999999</c:v>
                </c:pt>
                <c:pt idx="24">
                  <c:v>0.93100000000000005</c:v>
                </c:pt>
                <c:pt idx="25">
                  <c:v>1.857</c:v>
                </c:pt>
                <c:pt idx="26">
                  <c:v>1.9279999999999999</c:v>
                </c:pt>
                <c:pt idx="27">
                  <c:v>0.93100000000000005</c:v>
                </c:pt>
                <c:pt idx="28">
                  <c:v>1.857</c:v>
                </c:pt>
                <c:pt idx="29">
                  <c:v>1.9279999999999999</c:v>
                </c:pt>
                <c:pt idx="30">
                  <c:v>4.242</c:v>
                </c:pt>
                <c:pt idx="31">
                  <c:v>1.7849999999999999</c:v>
                </c:pt>
                <c:pt idx="32">
                  <c:v>2.5459999999999998</c:v>
                </c:pt>
                <c:pt idx="33">
                  <c:v>2.1280000000000001</c:v>
                </c:pt>
                <c:pt idx="34">
                  <c:v>2.5169999999999999</c:v>
                </c:pt>
                <c:pt idx="35">
                  <c:v>3.4529999999999998</c:v>
                </c:pt>
                <c:pt idx="36">
                  <c:v>3.6970000000000001</c:v>
                </c:pt>
                <c:pt idx="37">
                  <c:v>2.9369999999999998</c:v>
                </c:pt>
                <c:pt idx="38">
                  <c:v>2.669</c:v>
                </c:pt>
                <c:pt idx="39">
                  <c:v>2.883</c:v>
                </c:pt>
                <c:pt idx="40">
                  <c:v>3.5339999999999998</c:v>
                </c:pt>
                <c:pt idx="41">
                  <c:v>3.7669999999999999</c:v>
                </c:pt>
                <c:pt idx="42">
                  <c:v>3.6469999999999998</c:v>
                </c:pt>
                <c:pt idx="43">
                  <c:v>3.2440000000000002</c:v>
                </c:pt>
                <c:pt idx="44">
                  <c:v>3.6480000000000001</c:v>
                </c:pt>
                <c:pt idx="45">
                  <c:v>3.1960000000000002</c:v>
                </c:pt>
                <c:pt idx="46">
                  <c:v>2.4220000000000002</c:v>
                </c:pt>
                <c:pt idx="47">
                  <c:v>2.3530000000000002</c:v>
                </c:pt>
                <c:pt idx="48">
                  <c:v>1.53</c:v>
                </c:pt>
                <c:pt idx="49">
                  <c:v>3.3660000000000001</c:v>
                </c:pt>
                <c:pt idx="50">
                  <c:v>1.1990000000000001</c:v>
                </c:pt>
                <c:pt idx="51">
                  <c:v>1.1990000000000001</c:v>
                </c:pt>
                <c:pt idx="52">
                  <c:v>0.76</c:v>
                </c:pt>
                <c:pt idx="53">
                  <c:v>0.82099999999999995</c:v>
                </c:pt>
                <c:pt idx="54">
                  <c:v>0.88500000000000001</c:v>
                </c:pt>
                <c:pt idx="55">
                  <c:v>0.27300000000000002</c:v>
                </c:pt>
                <c:pt idx="56">
                  <c:v>1.2130000000000001</c:v>
                </c:pt>
                <c:pt idx="57">
                  <c:v>0.83599999999999997</c:v>
                </c:pt>
                <c:pt idx="58">
                  <c:v>1.0009999999999999</c:v>
                </c:pt>
                <c:pt idx="59">
                  <c:v>1.375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45-45C5-806C-53A671DCD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251039"/>
        <c:axId val="510245279"/>
      </c:scatterChart>
      <c:valAx>
        <c:axId val="51025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3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45279"/>
        <c:crosses val="autoZero"/>
        <c:crossBetween val="midCat"/>
        <c:majorUnit val="0.1"/>
      </c:valAx>
      <c:valAx>
        <c:axId val="5102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5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Mouse: Genuine Vs Impostor Max_Z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mouse_2!$I$1</c:f>
              <c:strCache>
                <c:ptCount val="1"/>
                <c:pt idx="0">
                  <c:v>Genuine mouse_max_z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mouse_2!$H$2:$H$61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mouse_2!$I$2:$I$61</c:f>
              <c:numCache>
                <c:formatCode>General</c:formatCode>
                <c:ptCount val="60"/>
                <c:pt idx="0">
                  <c:v>0.94499999999999995</c:v>
                </c:pt>
                <c:pt idx="1">
                  <c:v>0.98799999999999999</c:v>
                </c:pt>
                <c:pt idx="2">
                  <c:v>1.056</c:v>
                </c:pt>
                <c:pt idx="3">
                  <c:v>1.0209999999999999</c:v>
                </c:pt>
                <c:pt idx="4">
                  <c:v>1.006</c:v>
                </c:pt>
                <c:pt idx="5">
                  <c:v>1.0089999999999999</c:v>
                </c:pt>
                <c:pt idx="6">
                  <c:v>1.022</c:v>
                </c:pt>
                <c:pt idx="7">
                  <c:v>1.016</c:v>
                </c:pt>
                <c:pt idx="8">
                  <c:v>0.93799999999999994</c:v>
                </c:pt>
                <c:pt idx="9">
                  <c:v>0.999</c:v>
                </c:pt>
                <c:pt idx="10">
                  <c:v>0.79500000000000004</c:v>
                </c:pt>
                <c:pt idx="11">
                  <c:v>1.181</c:v>
                </c:pt>
                <c:pt idx="12">
                  <c:v>1.4510000000000001</c:v>
                </c:pt>
                <c:pt idx="13">
                  <c:v>4.5730000000000004</c:v>
                </c:pt>
                <c:pt idx="14">
                  <c:v>3.1419999999999999</c:v>
                </c:pt>
                <c:pt idx="15">
                  <c:v>2.569</c:v>
                </c:pt>
                <c:pt idx="16">
                  <c:v>2.2250000000000001</c:v>
                </c:pt>
                <c:pt idx="17">
                  <c:v>3.2650000000000001</c:v>
                </c:pt>
                <c:pt idx="18">
                  <c:v>2.121</c:v>
                </c:pt>
                <c:pt idx="19">
                  <c:v>1.931</c:v>
                </c:pt>
                <c:pt idx="20">
                  <c:v>1.42</c:v>
                </c:pt>
                <c:pt idx="21">
                  <c:v>1.4790000000000001</c:v>
                </c:pt>
                <c:pt idx="22">
                  <c:v>2.8490000000000002</c:v>
                </c:pt>
                <c:pt idx="23">
                  <c:v>2.9260000000000002</c:v>
                </c:pt>
                <c:pt idx="24">
                  <c:v>1.667</c:v>
                </c:pt>
                <c:pt idx="25">
                  <c:v>2.2669999999999999</c:v>
                </c:pt>
                <c:pt idx="26">
                  <c:v>3.347</c:v>
                </c:pt>
                <c:pt idx="27">
                  <c:v>4.3330000000000002</c:v>
                </c:pt>
                <c:pt idx="28">
                  <c:v>2.548</c:v>
                </c:pt>
                <c:pt idx="29">
                  <c:v>3.06</c:v>
                </c:pt>
                <c:pt idx="30">
                  <c:v>0.97199999999999998</c:v>
                </c:pt>
                <c:pt idx="31">
                  <c:v>2.1720000000000002</c:v>
                </c:pt>
                <c:pt idx="32">
                  <c:v>4.5170000000000003</c:v>
                </c:pt>
                <c:pt idx="33">
                  <c:v>3.161</c:v>
                </c:pt>
                <c:pt idx="34">
                  <c:v>1.9419999999999999</c:v>
                </c:pt>
                <c:pt idx="35">
                  <c:v>4.7750000000000004</c:v>
                </c:pt>
                <c:pt idx="36">
                  <c:v>2.75</c:v>
                </c:pt>
                <c:pt idx="37">
                  <c:v>0.93600000000000005</c:v>
                </c:pt>
                <c:pt idx="38">
                  <c:v>1.603</c:v>
                </c:pt>
                <c:pt idx="39">
                  <c:v>3.31</c:v>
                </c:pt>
                <c:pt idx="40">
                  <c:v>3.7549999999999999</c:v>
                </c:pt>
                <c:pt idx="41">
                  <c:v>3.0150000000000001</c:v>
                </c:pt>
                <c:pt idx="42">
                  <c:v>0.71799999999999997</c:v>
                </c:pt>
                <c:pt idx="43">
                  <c:v>1.7450000000000001</c:v>
                </c:pt>
                <c:pt idx="44">
                  <c:v>1.329</c:v>
                </c:pt>
                <c:pt idx="45">
                  <c:v>0.86399999999999999</c:v>
                </c:pt>
                <c:pt idx="46">
                  <c:v>0.68500000000000005</c:v>
                </c:pt>
                <c:pt idx="47">
                  <c:v>1.264</c:v>
                </c:pt>
                <c:pt idx="48">
                  <c:v>1.264</c:v>
                </c:pt>
                <c:pt idx="49">
                  <c:v>1.1040000000000001</c:v>
                </c:pt>
                <c:pt idx="50">
                  <c:v>1.61</c:v>
                </c:pt>
                <c:pt idx="51">
                  <c:v>1.3540000000000001</c:v>
                </c:pt>
                <c:pt idx="52">
                  <c:v>1.26</c:v>
                </c:pt>
                <c:pt idx="53">
                  <c:v>1.3049999999999999</c:v>
                </c:pt>
                <c:pt idx="54">
                  <c:v>2.375</c:v>
                </c:pt>
                <c:pt idx="55">
                  <c:v>1.381</c:v>
                </c:pt>
                <c:pt idx="56">
                  <c:v>1.069</c:v>
                </c:pt>
                <c:pt idx="57">
                  <c:v>1.61</c:v>
                </c:pt>
                <c:pt idx="58">
                  <c:v>1.272</c:v>
                </c:pt>
                <c:pt idx="59">
                  <c:v>1.236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00-45B4-ABFC-1E8F24D66D5C}"/>
            </c:ext>
          </c:extLst>
        </c:ser>
        <c:ser>
          <c:idx val="1"/>
          <c:order val="1"/>
          <c:tx>
            <c:strRef>
              <c:f>mouse_2!$J$1</c:f>
              <c:strCache>
                <c:ptCount val="1"/>
                <c:pt idx="0">
                  <c:v>Impostor mouse_max_z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mouse_2!$H$2:$H$61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mouse_2!$J$2:$J$61</c:f>
              <c:numCache>
                <c:formatCode>General</c:formatCode>
                <c:ptCount val="60"/>
                <c:pt idx="0">
                  <c:v>0.68700000000000006</c:v>
                </c:pt>
                <c:pt idx="1">
                  <c:v>0.97699999999999998</c:v>
                </c:pt>
                <c:pt idx="2">
                  <c:v>1.1539999999999999</c:v>
                </c:pt>
                <c:pt idx="3">
                  <c:v>0.67200000000000004</c:v>
                </c:pt>
                <c:pt idx="4">
                  <c:v>0.90200000000000002</c:v>
                </c:pt>
                <c:pt idx="5">
                  <c:v>0.73099999999999998</c:v>
                </c:pt>
                <c:pt idx="6">
                  <c:v>2.1659999999999999</c:v>
                </c:pt>
                <c:pt idx="7">
                  <c:v>1.738</c:v>
                </c:pt>
                <c:pt idx="8">
                  <c:v>2.4910000000000001</c:v>
                </c:pt>
                <c:pt idx="9">
                  <c:v>2.5059999999999998</c:v>
                </c:pt>
                <c:pt idx="10">
                  <c:v>7.0359999999999996</c:v>
                </c:pt>
                <c:pt idx="11">
                  <c:v>7.78</c:v>
                </c:pt>
                <c:pt idx="12">
                  <c:v>1.716</c:v>
                </c:pt>
                <c:pt idx="13">
                  <c:v>3.7759999999999998</c:v>
                </c:pt>
                <c:pt idx="14">
                  <c:v>2.3130000000000002</c:v>
                </c:pt>
                <c:pt idx="15">
                  <c:v>1.716</c:v>
                </c:pt>
                <c:pt idx="16">
                  <c:v>6.1609999999999996</c:v>
                </c:pt>
                <c:pt idx="17">
                  <c:v>7.0359999999999996</c:v>
                </c:pt>
                <c:pt idx="18">
                  <c:v>8.173</c:v>
                </c:pt>
                <c:pt idx="19">
                  <c:v>8.7750000000000004</c:v>
                </c:pt>
                <c:pt idx="20">
                  <c:v>6.2249999999999996</c:v>
                </c:pt>
                <c:pt idx="21">
                  <c:v>1.702</c:v>
                </c:pt>
                <c:pt idx="22">
                  <c:v>4.851</c:v>
                </c:pt>
                <c:pt idx="23">
                  <c:v>6.2249999999999996</c:v>
                </c:pt>
                <c:pt idx="24">
                  <c:v>1.702</c:v>
                </c:pt>
                <c:pt idx="25">
                  <c:v>4.8650000000000002</c:v>
                </c:pt>
                <c:pt idx="26">
                  <c:v>2.86</c:v>
                </c:pt>
                <c:pt idx="27">
                  <c:v>1.702</c:v>
                </c:pt>
                <c:pt idx="28">
                  <c:v>4.8650000000000002</c:v>
                </c:pt>
                <c:pt idx="29">
                  <c:v>2.86</c:v>
                </c:pt>
                <c:pt idx="30">
                  <c:v>8.07</c:v>
                </c:pt>
                <c:pt idx="31">
                  <c:v>4.2389999999999999</c:v>
                </c:pt>
                <c:pt idx="32">
                  <c:v>3.9820000000000002</c:v>
                </c:pt>
                <c:pt idx="33">
                  <c:v>3.8610000000000002</c:v>
                </c:pt>
                <c:pt idx="34">
                  <c:v>4.6769999999999996</c:v>
                </c:pt>
                <c:pt idx="35">
                  <c:v>6.6609999999999996</c:v>
                </c:pt>
                <c:pt idx="36">
                  <c:v>6.0839999999999996</c:v>
                </c:pt>
                <c:pt idx="37">
                  <c:v>6.1829999999999998</c:v>
                </c:pt>
                <c:pt idx="38">
                  <c:v>4.5339999999999998</c:v>
                </c:pt>
                <c:pt idx="39">
                  <c:v>5.0309999999999997</c:v>
                </c:pt>
                <c:pt idx="40">
                  <c:v>4.1849999999999996</c:v>
                </c:pt>
                <c:pt idx="41">
                  <c:v>5.8179999999999996</c:v>
                </c:pt>
                <c:pt idx="42">
                  <c:v>5.6319999999999997</c:v>
                </c:pt>
                <c:pt idx="43">
                  <c:v>4.976</c:v>
                </c:pt>
                <c:pt idx="44">
                  <c:v>4.9089999999999998</c:v>
                </c:pt>
                <c:pt idx="45">
                  <c:v>4.1059999999999999</c:v>
                </c:pt>
                <c:pt idx="46">
                  <c:v>3.18</c:v>
                </c:pt>
                <c:pt idx="47">
                  <c:v>3.4889999999999999</c:v>
                </c:pt>
                <c:pt idx="48">
                  <c:v>1.7669999999999999</c:v>
                </c:pt>
                <c:pt idx="49">
                  <c:v>4.7089999999999996</c:v>
                </c:pt>
                <c:pt idx="50">
                  <c:v>2.1520000000000001</c:v>
                </c:pt>
                <c:pt idx="51">
                  <c:v>2.1520000000000001</c:v>
                </c:pt>
                <c:pt idx="52">
                  <c:v>1.1439999999999999</c:v>
                </c:pt>
                <c:pt idx="53">
                  <c:v>1.3340000000000001</c:v>
                </c:pt>
                <c:pt idx="54">
                  <c:v>1.556</c:v>
                </c:pt>
                <c:pt idx="55">
                  <c:v>0.53500000000000003</c:v>
                </c:pt>
                <c:pt idx="56">
                  <c:v>2.0539999999999998</c:v>
                </c:pt>
                <c:pt idx="57">
                  <c:v>1.794</c:v>
                </c:pt>
                <c:pt idx="58">
                  <c:v>1.7130000000000001</c:v>
                </c:pt>
                <c:pt idx="59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00-45B4-ABFC-1E8F24D66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925503"/>
        <c:axId val="582926463"/>
      </c:scatterChart>
      <c:valAx>
        <c:axId val="5829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3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26463"/>
        <c:crosses val="autoZero"/>
        <c:crossBetween val="midCat"/>
        <c:majorUnit val="0.1"/>
      </c:valAx>
      <c:valAx>
        <c:axId val="58292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25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Mouse: Genuine &amp; Impostor Average Z, Max Z Values with Thresholds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mouse_2!$N$1</c:f>
              <c:strCache>
                <c:ptCount val="1"/>
                <c:pt idx="0">
                  <c:v>Genuine mouse_avg_z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FF3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mouse_2!$M$2:$M$61</c:f>
              <c:numCache>
                <c:formatCode>0.000</c:formatCode>
                <c:ptCount val="60"/>
                <c:pt idx="0">
                  <c:v>0.01</c:v>
                </c:pt>
                <c:pt idx="1">
                  <c:v>6.0000000000000005E-2</c:v>
                </c:pt>
                <c:pt idx="2">
                  <c:v>0.11000000000000001</c:v>
                </c:pt>
                <c:pt idx="3">
                  <c:v>0.16000000000000003</c:v>
                </c:pt>
                <c:pt idx="4">
                  <c:v>0.21000000000000002</c:v>
                </c:pt>
                <c:pt idx="5">
                  <c:v>0.26</c:v>
                </c:pt>
                <c:pt idx="6">
                  <c:v>0.31</c:v>
                </c:pt>
                <c:pt idx="7">
                  <c:v>0.36</c:v>
                </c:pt>
                <c:pt idx="8">
                  <c:v>0.41</c:v>
                </c:pt>
                <c:pt idx="9">
                  <c:v>0.45999999999999996</c:v>
                </c:pt>
                <c:pt idx="10">
                  <c:v>0.51</c:v>
                </c:pt>
                <c:pt idx="11">
                  <c:v>0.56000000000000005</c:v>
                </c:pt>
                <c:pt idx="12">
                  <c:v>0.6100000000000001</c:v>
                </c:pt>
                <c:pt idx="13">
                  <c:v>0.66000000000000014</c:v>
                </c:pt>
                <c:pt idx="14">
                  <c:v>0.71000000000000019</c:v>
                </c:pt>
                <c:pt idx="15">
                  <c:v>0.76000000000000023</c:v>
                </c:pt>
                <c:pt idx="16">
                  <c:v>0.81000000000000028</c:v>
                </c:pt>
                <c:pt idx="17">
                  <c:v>0.86000000000000032</c:v>
                </c:pt>
                <c:pt idx="18">
                  <c:v>0.91000000000000036</c:v>
                </c:pt>
                <c:pt idx="19">
                  <c:v>0.96000000000000041</c:v>
                </c:pt>
                <c:pt idx="20">
                  <c:v>1.0100000000000005</c:v>
                </c:pt>
                <c:pt idx="21">
                  <c:v>1.0600000000000005</c:v>
                </c:pt>
                <c:pt idx="22">
                  <c:v>1.1100000000000005</c:v>
                </c:pt>
                <c:pt idx="23">
                  <c:v>1.1600000000000006</c:v>
                </c:pt>
                <c:pt idx="24">
                  <c:v>1.2100000000000006</c:v>
                </c:pt>
                <c:pt idx="25">
                  <c:v>1.2600000000000007</c:v>
                </c:pt>
                <c:pt idx="26">
                  <c:v>1.3100000000000007</c:v>
                </c:pt>
                <c:pt idx="27">
                  <c:v>1.3600000000000008</c:v>
                </c:pt>
                <c:pt idx="28">
                  <c:v>1.4100000000000008</c:v>
                </c:pt>
                <c:pt idx="29">
                  <c:v>1.4600000000000009</c:v>
                </c:pt>
                <c:pt idx="30">
                  <c:v>1.5100000000000009</c:v>
                </c:pt>
                <c:pt idx="31">
                  <c:v>1.5600000000000009</c:v>
                </c:pt>
                <c:pt idx="32">
                  <c:v>1.610000000000001</c:v>
                </c:pt>
                <c:pt idx="33">
                  <c:v>1.660000000000001</c:v>
                </c:pt>
                <c:pt idx="34">
                  <c:v>1.7100000000000011</c:v>
                </c:pt>
                <c:pt idx="35">
                  <c:v>1.7600000000000011</c:v>
                </c:pt>
                <c:pt idx="36">
                  <c:v>1.8100000000000012</c:v>
                </c:pt>
                <c:pt idx="37">
                  <c:v>1.8600000000000012</c:v>
                </c:pt>
                <c:pt idx="38">
                  <c:v>1.9100000000000013</c:v>
                </c:pt>
                <c:pt idx="39">
                  <c:v>1.9600000000000013</c:v>
                </c:pt>
                <c:pt idx="40">
                  <c:v>2.0100000000000011</c:v>
                </c:pt>
                <c:pt idx="41">
                  <c:v>2.0600000000000009</c:v>
                </c:pt>
                <c:pt idx="42">
                  <c:v>2.1100000000000008</c:v>
                </c:pt>
                <c:pt idx="43">
                  <c:v>2.1600000000000006</c:v>
                </c:pt>
                <c:pt idx="44">
                  <c:v>2.2100000000000004</c:v>
                </c:pt>
                <c:pt idx="45">
                  <c:v>2.2600000000000002</c:v>
                </c:pt>
                <c:pt idx="46">
                  <c:v>2.31</c:v>
                </c:pt>
                <c:pt idx="47">
                  <c:v>2.36</c:v>
                </c:pt>
                <c:pt idx="48">
                  <c:v>2.4099999999999997</c:v>
                </c:pt>
                <c:pt idx="49">
                  <c:v>2.4599999999999995</c:v>
                </c:pt>
                <c:pt idx="50">
                  <c:v>2.5099999999999993</c:v>
                </c:pt>
                <c:pt idx="51">
                  <c:v>2.5599999999999992</c:v>
                </c:pt>
                <c:pt idx="52">
                  <c:v>2.609999999999999</c:v>
                </c:pt>
                <c:pt idx="53">
                  <c:v>2.6599999999999988</c:v>
                </c:pt>
                <c:pt idx="54">
                  <c:v>2.7099999999999986</c:v>
                </c:pt>
                <c:pt idx="55">
                  <c:v>2.7599999999999985</c:v>
                </c:pt>
                <c:pt idx="56">
                  <c:v>2.8099999999999983</c:v>
                </c:pt>
                <c:pt idx="57">
                  <c:v>2.8599999999999981</c:v>
                </c:pt>
                <c:pt idx="58">
                  <c:v>2.9099999999999979</c:v>
                </c:pt>
                <c:pt idx="59">
                  <c:v>2.9599999999999977</c:v>
                </c:pt>
              </c:numCache>
            </c:numRef>
          </c:xVal>
          <c:yVal>
            <c:numRef>
              <c:f>mouse_2!$N$2:$N$61</c:f>
              <c:numCache>
                <c:formatCode>General</c:formatCode>
                <c:ptCount val="60"/>
                <c:pt idx="0">
                  <c:v>0.55900000000000005</c:v>
                </c:pt>
                <c:pt idx="1">
                  <c:v>0.67800000000000005</c:v>
                </c:pt>
                <c:pt idx="2">
                  <c:v>0.59699999999999998</c:v>
                </c:pt>
                <c:pt idx="3">
                  <c:v>0.61599999999999999</c:v>
                </c:pt>
                <c:pt idx="4">
                  <c:v>0.55800000000000005</c:v>
                </c:pt>
                <c:pt idx="5">
                  <c:v>0.65500000000000003</c:v>
                </c:pt>
                <c:pt idx="6">
                  <c:v>0.57699999999999996</c:v>
                </c:pt>
                <c:pt idx="7">
                  <c:v>0.53100000000000003</c:v>
                </c:pt>
                <c:pt idx="8">
                  <c:v>0.57199999999999995</c:v>
                </c:pt>
                <c:pt idx="9">
                  <c:v>0.70299999999999996</c:v>
                </c:pt>
                <c:pt idx="10">
                  <c:v>0.48</c:v>
                </c:pt>
                <c:pt idx="11">
                  <c:v>0.54200000000000004</c:v>
                </c:pt>
                <c:pt idx="12">
                  <c:v>0.94699999999999995</c:v>
                </c:pt>
                <c:pt idx="13">
                  <c:v>2.9129999999999998</c:v>
                </c:pt>
                <c:pt idx="14">
                  <c:v>1.569</c:v>
                </c:pt>
                <c:pt idx="15">
                  <c:v>1.087</c:v>
                </c:pt>
                <c:pt idx="16">
                  <c:v>0.752</c:v>
                </c:pt>
                <c:pt idx="17">
                  <c:v>1.204</c:v>
                </c:pt>
                <c:pt idx="18">
                  <c:v>1.262</c:v>
                </c:pt>
                <c:pt idx="19">
                  <c:v>0.88300000000000001</c:v>
                </c:pt>
                <c:pt idx="20">
                  <c:v>0.71499999999999997</c:v>
                </c:pt>
                <c:pt idx="21">
                  <c:v>0.65100000000000002</c:v>
                </c:pt>
                <c:pt idx="22">
                  <c:v>1.8069999999999999</c:v>
                </c:pt>
                <c:pt idx="23">
                  <c:v>1.5069999999999999</c:v>
                </c:pt>
                <c:pt idx="24">
                  <c:v>0.69499999999999995</c:v>
                </c:pt>
                <c:pt idx="25">
                  <c:v>1.036</c:v>
                </c:pt>
                <c:pt idx="26">
                  <c:v>1.8240000000000001</c:v>
                </c:pt>
                <c:pt idx="27">
                  <c:v>3.302</c:v>
                </c:pt>
                <c:pt idx="28">
                  <c:v>0.88700000000000001</c:v>
                </c:pt>
                <c:pt idx="29">
                  <c:v>1.248</c:v>
                </c:pt>
                <c:pt idx="30">
                  <c:v>0.60699999999999998</c:v>
                </c:pt>
                <c:pt idx="31">
                  <c:v>1.2010000000000001</c:v>
                </c:pt>
                <c:pt idx="32">
                  <c:v>2.452</c:v>
                </c:pt>
                <c:pt idx="33">
                  <c:v>1.821</c:v>
                </c:pt>
                <c:pt idx="34">
                  <c:v>1.2849999999999999</c:v>
                </c:pt>
                <c:pt idx="35">
                  <c:v>2.1469999999999998</c:v>
                </c:pt>
                <c:pt idx="36">
                  <c:v>1.272</c:v>
                </c:pt>
                <c:pt idx="37">
                  <c:v>0.495</c:v>
                </c:pt>
                <c:pt idx="38">
                  <c:v>1.056</c:v>
                </c:pt>
                <c:pt idx="39">
                  <c:v>1.5820000000000001</c:v>
                </c:pt>
                <c:pt idx="40">
                  <c:v>2.7530000000000001</c:v>
                </c:pt>
                <c:pt idx="41">
                  <c:v>1.996</c:v>
                </c:pt>
                <c:pt idx="42">
                  <c:v>0.38600000000000001</c:v>
                </c:pt>
                <c:pt idx="43">
                  <c:v>1.256</c:v>
                </c:pt>
                <c:pt idx="44">
                  <c:v>0.76200000000000001</c:v>
                </c:pt>
                <c:pt idx="45">
                  <c:v>0.64900000000000002</c:v>
                </c:pt>
                <c:pt idx="46">
                  <c:v>0.371</c:v>
                </c:pt>
                <c:pt idx="47">
                  <c:v>0.66600000000000004</c:v>
                </c:pt>
                <c:pt idx="48">
                  <c:v>0.66600000000000004</c:v>
                </c:pt>
                <c:pt idx="49">
                  <c:v>0.52300000000000002</c:v>
                </c:pt>
                <c:pt idx="50">
                  <c:v>0.86699999999999999</c:v>
                </c:pt>
                <c:pt idx="51">
                  <c:v>0.69699999999999995</c:v>
                </c:pt>
                <c:pt idx="52">
                  <c:v>0.754</c:v>
                </c:pt>
                <c:pt idx="53">
                  <c:v>0.77500000000000002</c:v>
                </c:pt>
                <c:pt idx="54">
                  <c:v>1.151</c:v>
                </c:pt>
                <c:pt idx="55">
                  <c:v>0.77500000000000002</c:v>
                </c:pt>
                <c:pt idx="56">
                  <c:v>0.77100000000000002</c:v>
                </c:pt>
                <c:pt idx="57">
                  <c:v>0.86699999999999999</c:v>
                </c:pt>
                <c:pt idx="58">
                  <c:v>0.76300000000000001</c:v>
                </c:pt>
                <c:pt idx="59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4E-4077-A223-7DBEC8DF31D0}"/>
            </c:ext>
          </c:extLst>
        </c:ser>
        <c:ser>
          <c:idx val="1"/>
          <c:order val="1"/>
          <c:tx>
            <c:strRef>
              <c:f>mouse_2!$O$1</c:f>
              <c:strCache>
                <c:ptCount val="1"/>
                <c:pt idx="0">
                  <c:v>Impostor mouse_avg_z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mouse_2!$M$2:$M$61</c:f>
              <c:numCache>
                <c:formatCode>0.000</c:formatCode>
                <c:ptCount val="60"/>
                <c:pt idx="0">
                  <c:v>0.01</c:v>
                </c:pt>
                <c:pt idx="1">
                  <c:v>6.0000000000000005E-2</c:v>
                </c:pt>
                <c:pt idx="2">
                  <c:v>0.11000000000000001</c:v>
                </c:pt>
                <c:pt idx="3">
                  <c:v>0.16000000000000003</c:v>
                </c:pt>
                <c:pt idx="4">
                  <c:v>0.21000000000000002</c:v>
                </c:pt>
                <c:pt idx="5">
                  <c:v>0.26</c:v>
                </c:pt>
                <c:pt idx="6">
                  <c:v>0.31</c:v>
                </c:pt>
                <c:pt idx="7">
                  <c:v>0.36</c:v>
                </c:pt>
                <c:pt idx="8">
                  <c:v>0.41</c:v>
                </c:pt>
                <c:pt idx="9">
                  <c:v>0.45999999999999996</c:v>
                </c:pt>
                <c:pt idx="10">
                  <c:v>0.51</c:v>
                </c:pt>
                <c:pt idx="11">
                  <c:v>0.56000000000000005</c:v>
                </c:pt>
                <c:pt idx="12">
                  <c:v>0.6100000000000001</c:v>
                </c:pt>
                <c:pt idx="13">
                  <c:v>0.66000000000000014</c:v>
                </c:pt>
                <c:pt idx="14">
                  <c:v>0.71000000000000019</c:v>
                </c:pt>
                <c:pt idx="15">
                  <c:v>0.76000000000000023</c:v>
                </c:pt>
                <c:pt idx="16">
                  <c:v>0.81000000000000028</c:v>
                </c:pt>
                <c:pt idx="17">
                  <c:v>0.86000000000000032</c:v>
                </c:pt>
                <c:pt idx="18">
                  <c:v>0.91000000000000036</c:v>
                </c:pt>
                <c:pt idx="19">
                  <c:v>0.96000000000000041</c:v>
                </c:pt>
                <c:pt idx="20">
                  <c:v>1.0100000000000005</c:v>
                </c:pt>
                <c:pt idx="21">
                  <c:v>1.0600000000000005</c:v>
                </c:pt>
                <c:pt idx="22">
                  <c:v>1.1100000000000005</c:v>
                </c:pt>
                <c:pt idx="23">
                  <c:v>1.1600000000000006</c:v>
                </c:pt>
                <c:pt idx="24">
                  <c:v>1.2100000000000006</c:v>
                </c:pt>
                <c:pt idx="25">
                  <c:v>1.2600000000000007</c:v>
                </c:pt>
                <c:pt idx="26">
                  <c:v>1.3100000000000007</c:v>
                </c:pt>
                <c:pt idx="27">
                  <c:v>1.3600000000000008</c:v>
                </c:pt>
                <c:pt idx="28">
                  <c:v>1.4100000000000008</c:v>
                </c:pt>
                <c:pt idx="29">
                  <c:v>1.4600000000000009</c:v>
                </c:pt>
                <c:pt idx="30">
                  <c:v>1.5100000000000009</c:v>
                </c:pt>
                <c:pt idx="31">
                  <c:v>1.5600000000000009</c:v>
                </c:pt>
                <c:pt idx="32">
                  <c:v>1.610000000000001</c:v>
                </c:pt>
                <c:pt idx="33">
                  <c:v>1.660000000000001</c:v>
                </c:pt>
                <c:pt idx="34">
                  <c:v>1.7100000000000011</c:v>
                </c:pt>
                <c:pt idx="35">
                  <c:v>1.7600000000000011</c:v>
                </c:pt>
                <c:pt idx="36">
                  <c:v>1.8100000000000012</c:v>
                </c:pt>
                <c:pt idx="37">
                  <c:v>1.8600000000000012</c:v>
                </c:pt>
                <c:pt idx="38">
                  <c:v>1.9100000000000013</c:v>
                </c:pt>
                <c:pt idx="39">
                  <c:v>1.9600000000000013</c:v>
                </c:pt>
                <c:pt idx="40">
                  <c:v>2.0100000000000011</c:v>
                </c:pt>
                <c:pt idx="41">
                  <c:v>2.0600000000000009</c:v>
                </c:pt>
                <c:pt idx="42">
                  <c:v>2.1100000000000008</c:v>
                </c:pt>
                <c:pt idx="43">
                  <c:v>2.1600000000000006</c:v>
                </c:pt>
                <c:pt idx="44">
                  <c:v>2.2100000000000004</c:v>
                </c:pt>
                <c:pt idx="45">
                  <c:v>2.2600000000000002</c:v>
                </c:pt>
                <c:pt idx="46">
                  <c:v>2.31</c:v>
                </c:pt>
                <c:pt idx="47">
                  <c:v>2.36</c:v>
                </c:pt>
                <c:pt idx="48">
                  <c:v>2.4099999999999997</c:v>
                </c:pt>
                <c:pt idx="49">
                  <c:v>2.4599999999999995</c:v>
                </c:pt>
                <c:pt idx="50">
                  <c:v>2.5099999999999993</c:v>
                </c:pt>
                <c:pt idx="51">
                  <c:v>2.5599999999999992</c:v>
                </c:pt>
                <c:pt idx="52">
                  <c:v>2.609999999999999</c:v>
                </c:pt>
                <c:pt idx="53">
                  <c:v>2.6599999999999988</c:v>
                </c:pt>
                <c:pt idx="54">
                  <c:v>2.7099999999999986</c:v>
                </c:pt>
                <c:pt idx="55">
                  <c:v>2.7599999999999985</c:v>
                </c:pt>
                <c:pt idx="56">
                  <c:v>2.8099999999999983</c:v>
                </c:pt>
                <c:pt idx="57">
                  <c:v>2.8599999999999981</c:v>
                </c:pt>
                <c:pt idx="58">
                  <c:v>2.9099999999999979</c:v>
                </c:pt>
                <c:pt idx="59">
                  <c:v>2.9599999999999977</c:v>
                </c:pt>
              </c:numCache>
            </c:numRef>
          </c:xVal>
          <c:yVal>
            <c:numRef>
              <c:f>mouse_2!$O$2:$O$61</c:f>
              <c:numCache>
                <c:formatCode>General</c:formatCode>
                <c:ptCount val="60"/>
                <c:pt idx="0">
                  <c:v>0.41199999999999998</c:v>
                </c:pt>
                <c:pt idx="1">
                  <c:v>0.68200000000000005</c:v>
                </c:pt>
                <c:pt idx="2">
                  <c:v>0.77300000000000002</c:v>
                </c:pt>
                <c:pt idx="3">
                  <c:v>0.28999999999999998</c:v>
                </c:pt>
                <c:pt idx="4">
                  <c:v>0.504</c:v>
                </c:pt>
                <c:pt idx="5">
                  <c:v>0.38200000000000001</c:v>
                </c:pt>
                <c:pt idx="6">
                  <c:v>0.86199999999999999</c:v>
                </c:pt>
                <c:pt idx="7">
                  <c:v>0.85099999999999998</c:v>
                </c:pt>
                <c:pt idx="8">
                  <c:v>1.1000000000000001</c:v>
                </c:pt>
                <c:pt idx="9">
                  <c:v>1.1879999999999999</c:v>
                </c:pt>
                <c:pt idx="10">
                  <c:v>3.2879999999999998</c:v>
                </c:pt>
                <c:pt idx="11">
                  <c:v>4.3259999999999996</c:v>
                </c:pt>
                <c:pt idx="12">
                  <c:v>1.3080000000000001</c:v>
                </c:pt>
                <c:pt idx="13">
                  <c:v>1.9950000000000001</c:v>
                </c:pt>
                <c:pt idx="14">
                  <c:v>1.17</c:v>
                </c:pt>
                <c:pt idx="15">
                  <c:v>1.3080000000000001</c:v>
                </c:pt>
                <c:pt idx="16">
                  <c:v>3.3879999999999999</c:v>
                </c:pt>
                <c:pt idx="17">
                  <c:v>3.2879999999999998</c:v>
                </c:pt>
                <c:pt idx="18">
                  <c:v>4.6360000000000001</c:v>
                </c:pt>
                <c:pt idx="19">
                  <c:v>3.101</c:v>
                </c:pt>
                <c:pt idx="20">
                  <c:v>4.7309999999999999</c:v>
                </c:pt>
                <c:pt idx="21">
                  <c:v>0.93100000000000005</c:v>
                </c:pt>
                <c:pt idx="22">
                  <c:v>3.6960000000000002</c:v>
                </c:pt>
                <c:pt idx="23">
                  <c:v>4.7309999999999999</c:v>
                </c:pt>
                <c:pt idx="24">
                  <c:v>0.93100000000000005</c:v>
                </c:pt>
                <c:pt idx="25">
                  <c:v>1.857</c:v>
                </c:pt>
                <c:pt idx="26">
                  <c:v>1.9279999999999999</c:v>
                </c:pt>
                <c:pt idx="27">
                  <c:v>0.93100000000000005</c:v>
                </c:pt>
                <c:pt idx="28">
                  <c:v>1.857</c:v>
                </c:pt>
                <c:pt idx="29">
                  <c:v>1.9279999999999999</c:v>
                </c:pt>
                <c:pt idx="30">
                  <c:v>4.242</c:v>
                </c:pt>
                <c:pt idx="31">
                  <c:v>1.7849999999999999</c:v>
                </c:pt>
                <c:pt idx="32">
                  <c:v>2.5459999999999998</c:v>
                </c:pt>
                <c:pt idx="33">
                  <c:v>2.1280000000000001</c:v>
                </c:pt>
                <c:pt idx="34">
                  <c:v>2.5169999999999999</c:v>
                </c:pt>
                <c:pt idx="35">
                  <c:v>3.4529999999999998</c:v>
                </c:pt>
                <c:pt idx="36">
                  <c:v>3.6970000000000001</c:v>
                </c:pt>
                <c:pt idx="37">
                  <c:v>2.9369999999999998</c:v>
                </c:pt>
                <c:pt idx="38">
                  <c:v>2.669</c:v>
                </c:pt>
                <c:pt idx="39">
                  <c:v>2.883</c:v>
                </c:pt>
                <c:pt idx="40">
                  <c:v>3.5339999999999998</c:v>
                </c:pt>
                <c:pt idx="41">
                  <c:v>3.7669999999999999</c:v>
                </c:pt>
                <c:pt idx="42">
                  <c:v>3.6469999999999998</c:v>
                </c:pt>
                <c:pt idx="43">
                  <c:v>3.2440000000000002</c:v>
                </c:pt>
                <c:pt idx="44">
                  <c:v>3.6480000000000001</c:v>
                </c:pt>
                <c:pt idx="45">
                  <c:v>3.1960000000000002</c:v>
                </c:pt>
                <c:pt idx="46">
                  <c:v>2.4220000000000002</c:v>
                </c:pt>
                <c:pt idx="47">
                  <c:v>2.3530000000000002</c:v>
                </c:pt>
                <c:pt idx="48">
                  <c:v>1.53</c:v>
                </c:pt>
                <c:pt idx="49">
                  <c:v>3.3660000000000001</c:v>
                </c:pt>
                <c:pt idx="50">
                  <c:v>1.1990000000000001</c:v>
                </c:pt>
                <c:pt idx="51">
                  <c:v>1.1990000000000001</c:v>
                </c:pt>
                <c:pt idx="52">
                  <c:v>0.76</c:v>
                </c:pt>
                <c:pt idx="53">
                  <c:v>0.82099999999999995</c:v>
                </c:pt>
                <c:pt idx="54">
                  <c:v>0.88500000000000001</c:v>
                </c:pt>
                <c:pt idx="55">
                  <c:v>0.27300000000000002</c:v>
                </c:pt>
                <c:pt idx="56">
                  <c:v>1.2130000000000001</c:v>
                </c:pt>
                <c:pt idx="57">
                  <c:v>0.83599999999999997</c:v>
                </c:pt>
                <c:pt idx="58">
                  <c:v>1.0009999999999999</c:v>
                </c:pt>
                <c:pt idx="59">
                  <c:v>1.375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4E-4077-A223-7DBEC8DF31D0}"/>
            </c:ext>
          </c:extLst>
        </c:ser>
        <c:ser>
          <c:idx val="2"/>
          <c:order val="2"/>
          <c:tx>
            <c:strRef>
              <c:f>mouse_2!$P$1</c:f>
              <c:strCache>
                <c:ptCount val="1"/>
                <c:pt idx="0">
                  <c:v>Genuine mouse_max_z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FFFF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mouse_2!$M$2:$M$61</c:f>
              <c:numCache>
                <c:formatCode>0.000</c:formatCode>
                <c:ptCount val="60"/>
                <c:pt idx="0">
                  <c:v>0.01</c:v>
                </c:pt>
                <c:pt idx="1">
                  <c:v>6.0000000000000005E-2</c:v>
                </c:pt>
                <c:pt idx="2">
                  <c:v>0.11000000000000001</c:v>
                </c:pt>
                <c:pt idx="3">
                  <c:v>0.16000000000000003</c:v>
                </c:pt>
                <c:pt idx="4">
                  <c:v>0.21000000000000002</c:v>
                </c:pt>
                <c:pt idx="5">
                  <c:v>0.26</c:v>
                </c:pt>
                <c:pt idx="6">
                  <c:v>0.31</c:v>
                </c:pt>
                <c:pt idx="7">
                  <c:v>0.36</c:v>
                </c:pt>
                <c:pt idx="8">
                  <c:v>0.41</c:v>
                </c:pt>
                <c:pt idx="9">
                  <c:v>0.45999999999999996</c:v>
                </c:pt>
                <c:pt idx="10">
                  <c:v>0.51</c:v>
                </c:pt>
                <c:pt idx="11">
                  <c:v>0.56000000000000005</c:v>
                </c:pt>
                <c:pt idx="12">
                  <c:v>0.6100000000000001</c:v>
                </c:pt>
                <c:pt idx="13">
                  <c:v>0.66000000000000014</c:v>
                </c:pt>
                <c:pt idx="14">
                  <c:v>0.71000000000000019</c:v>
                </c:pt>
                <c:pt idx="15">
                  <c:v>0.76000000000000023</c:v>
                </c:pt>
                <c:pt idx="16">
                  <c:v>0.81000000000000028</c:v>
                </c:pt>
                <c:pt idx="17">
                  <c:v>0.86000000000000032</c:v>
                </c:pt>
                <c:pt idx="18">
                  <c:v>0.91000000000000036</c:v>
                </c:pt>
                <c:pt idx="19">
                  <c:v>0.96000000000000041</c:v>
                </c:pt>
                <c:pt idx="20">
                  <c:v>1.0100000000000005</c:v>
                </c:pt>
                <c:pt idx="21">
                  <c:v>1.0600000000000005</c:v>
                </c:pt>
                <c:pt idx="22">
                  <c:v>1.1100000000000005</c:v>
                </c:pt>
                <c:pt idx="23">
                  <c:v>1.1600000000000006</c:v>
                </c:pt>
                <c:pt idx="24">
                  <c:v>1.2100000000000006</c:v>
                </c:pt>
                <c:pt idx="25">
                  <c:v>1.2600000000000007</c:v>
                </c:pt>
                <c:pt idx="26">
                  <c:v>1.3100000000000007</c:v>
                </c:pt>
                <c:pt idx="27">
                  <c:v>1.3600000000000008</c:v>
                </c:pt>
                <c:pt idx="28">
                  <c:v>1.4100000000000008</c:v>
                </c:pt>
                <c:pt idx="29">
                  <c:v>1.4600000000000009</c:v>
                </c:pt>
                <c:pt idx="30">
                  <c:v>1.5100000000000009</c:v>
                </c:pt>
                <c:pt idx="31">
                  <c:v>1.5600000000000009</c:v>
                </c:pt>
                <c:pt idx="32">
                  <c:v>1.610000000000001</c:v>
                </c:pt>
                <c:pt idx="33">
                  <c:v>1.660000000000001</c:v>
                </c:pt>
                <c:pt idx="34">
                  <c:v>1.7100000000000011</c:v>
                </c:pt>
                <c:pt idx="35">
                  <c:v>1.7600000000000011</c:v>
                </c:pt>
                <c:pt idx="36">
                  <c:v>1.8100000000000012</c:v>
                </c:pt>
                <c:pt idx="37">
                  <c:v>1.8600000000000012</c:v>
                </c:pt>
                <c:pt idx="38">
                  <c:v>1.9100000000000013</c:v>
                </c:pt>
                <c:pt idx="39">
                  <c:v>1.9600000000000013</c:v>
                </c:pt>
                <c:pt idx="40">
                  <c:v>2.0100000000000011</c:v>
                </c:pt>
                <c:pt idx="41">
                  <c:v>2.0600000000000009</c:v>
                </c:pt>
                <c:pt idx="42">
                  <c:v>2.1100000000000008</c:v>
                </c:pt>
                <c:pt idx="43">
                  <c:v>2.1600000000000006</c:v>
                </c:pt>
                <c:pt idx="44">
                  <c:v>2.2100000000000004</c:v>
                </c:pt>
                <c:pt idx="45">
                  <c:v>2.2600000000000002</c:v>
                </c:pt>
                <c:pt idx="46">
                  <c:v>2.31</c:v>
                </c:pt>
                <c:pt idx="47">
                  <c:v>2.36</c:v>
                </c:pt>
                <c:pt idx="48">
                  <c:v>2.4099999999999997</c:v>
                </c:pt>
                <c:pt idx="49">
                  <c:v>2.4599999999999995</c:v>
                </c:pt>
                <c:pt idx="50">
                  <c:v>2.5099999999999993</c:v>
                </c:pt>
                <c:pt idx="51">
                  <c:v>2.5599999999999992</c:v>
                </c:pt>
                <c:pt idx="52">
                  <c:v>2.609999999999999</c:v>
                </c:pt>
                <c:pt idx="53">
                  <c:v>2.6599999999999988</c:v>
                </c:pt>
                <c:pt idx="54">
                  <c:v>2.7099999999999986</c:v>
                </c:pt>
                <c:pt idx="55">
                  <c:v>2.7599999999999985</c:v>
                </c:pt>
                <c:pt idx="56">
                  <c:v>2.8099999999999983</c:v>
                </c:pt>
                <c:pt idx="57">
                  <c:v>2.8599999999999981</c:v>
                </c:pt>
                <c:pt idx="58">
                  <c:v>2.9099999999999979</c:v>
                </c:pt>
                <c:pt idx="59">
                  <c:v>2.9599999999999977</c:v>
                </c:pt>
              </c:numCache>
            </c:numRef>
          </c:xVal>
          <c:yVal>
            <c:numRef>
              <c:f>mouse_2!$P$2:$P$61</c:f>
              <c:numCache>
                <c:formatCode>General</c:formatCode>
                <c:ptCount val="60"/>
                <c:pt idx="0">
                  <c:v>0.94499999999999995</c:v>
                </c:pt>
                <c:pt idx="1">
                  <c:v>0.98799999999999999</c:v>
                </c:pt>
                <c:pt idx="2">
                  <c:v>1.056</c:v>
                </c:pt>
                <c:pt idx="3">
                  <c:v>1.0209999999999999</c:v>
                </c:pt>
                <c:pt idx="4">
                  <c:v>1.006</c:v>
                </c:pt>
                <c:pt idx="5">
                  <c:v>1.0089999999999999</c:v>
                </c:pt>
                <c:pt idx="6">
                  <c:v>1.022</c:v>
                </c:pt>
                <c:pt idx="7">
                  <c:v>1.016</c:v>
                </c:pt>
                <c:pt idx="8">
                  <c:v>0.93799999999999994</c:v>
                </c:pt>
                <c:pt idx="9">
                  <c:v>0.999</c:v>
                </c:pt>
                <c:pt idx="10">
                  <c:v>0.79500000000000004</c:v>
                </c:pt>
                <c:pt idx="11">
                  <c:v>1.181</c:v>
                </c:pt>
                <c:pt idx="12">
                  <c:v>1.4510000000000001</c:v>
                </c:pt>
                <c:pt idx="13">
                  <c:v>4.5730000000000004</c:v>
                </c:pt>
                <c:pt idx="14">
                  <c:v>3.1419999999999999</c:v>
                </c:pt>
                <c:pt idx="15">
                  <c:v>2.569</c:v>
                </c:pt>
                <c:pt idx="16">
                  <c:v>2.2250000000000001</c:v>
                </c:pt>
                <c:pt idx="17">
                  <c:v>3.2650000000000001</c:v>
                </c:pt>
                <c:pt idx="18">
                  <c:v>2.121</c:v>
                </c:pt>
                <c:pt idx="19">
                  <c:v>1.931</c:v>
                </c:pt>
                <c:pt idx="20">
                  <c:v>1.42</c:v>
                </c:pt>
                <c:pt idx="21">
                  <c:v>1.4790000000000001</c:v>
                </c:pt>
                <c:pt idx="22">
                  <c:v>2.8490000000000002</c:v>
                </c:pt>
                <c:pt idx="23">
                  <c:v>2.9260000000000002</c:v>
                </c:pt>
                <c:pt idx="24">
                  <c:v>1.667</c:v>
                </c:pt>
                <c:pt idx="25">
                  <c:v>2.2669999999999999</c:v>
                </c:pt>
                <c:pt idx="26">
                  <c:v>3.347</c:v>
                </c:pt>
                <c:pt idx="27">
                  <c:v>4.3330000000000002</c:v>
                </c:pt>
                <c:pt idx="28">
                  <c:v>2.548</c:v>
                </c:pt>
                <c:pt idx="29">
                  <c:v>3.06</c:v>
                </c:pt>
                <c:pt idx="30">
                  <c:v>0.97199999999999998</c:v>
                </c:pt>
                <c:pt idx="31">
                  <c:v>2.1720000000000002</c:v>
                </c:pt>
                <c:pt idx="32">
                  <c:v>4.5170000000000003</c:v>
                </c:pt>
                <c:pt idx="33">
                  <c:v>3.161</c:v>
                </c:pt>
                <c:pt idx="34">
                  <c:v>1.9419999999999999</c:v>
                </c:pt>
                <c:pt idx="35">
                  <c:v>4.7750000000000004</c:v>
                </c:pt>
                <c:pt idx="36">
                  <c:v>2.75</c:v>
                </c:pt>
                <c:pt idx="37">
                  <c:v>0.93600000000000005</c:v>
                </c:pt>
                <c:pt idx="38">
                  <c:v>1.603</c:v>
                </c:pt>
                <c:pt idx="39">
                  <c:v>3.31</c:v>
                </c:pt>
                <c:pt idx="40">
                  <c:v>3.7549999999999999</c:v>
                </c:pt>
                <c:pt idx="41">
                  <c:v>3.0150000000000001</c:v>
                </c:pt>
                <c:pt idx="42">
                  <c:v>0.71799999999999997</c:v>
                </c:pt>
                <c:pt idx="43">
                  <c:v>1.7450000000000001</c:v>
                </c:pt>
                <c:pt idx="44">
                  <c:v>1.329</c:v>
                </c:pt>
                <c:pt idx="45">
                  <c:v>0.86399999999999999</c:v>
                </c:pt>
                <c:pt idx="46">
                  <c:v>0.68500000000000005</c:v>
                </c:pt>
                <c:pt idx="47">
                  <c:v>1.264</c:v>
                </c:pt>
                <c:pt idx="48">
                  <c:v>1.264</c:v>
                </c:pt>
                <c:pt idx="49">
                  <c:v>1.1040000000000001</c:v>
                </c:pt>
                <c:pt idx="50">
                  <c:v>1.61</c:v>
                </c:pt>
                <c:pt idx="51">
                  <c:v>1.3540000000000001</c:v>
                </c:pt>
                <c:pt idx="52">
                  <c:v>1.26</c:v>
                </c:pt>
                <c:pt idx="53">
                  <c:v>1.3049999999999999</c:v>
                </c:pt>
                <c:pt idx="54">
                  <c:v>2.375</c:v>
                </c:pt>
                <c:pt idx="55">
                  <c:v>1.381</c:v>
                </c:pt>
                <c:pt idx="56">
                  <c:v>1.069</c:v>
                </c:pt>
                <c:pt idx="57">
                  <c:v>1.61</c:v>
                </c:pt>
                <c:pt idx="58">
                  <c:v>1.272</c:v>
                </c:pt>
                <c:pt idx="59">
                  <c:v>1.236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4E-4077-A223-7DBEC8DF31D0}"/>
            </c:ext>
          </c:extLst>
        </c:ser>
        <c:ser>
          <c:idx val="3"/>
          <c:order val="3"/>
          <c:tx>
            <c:strRef>
              <c:f>mouse_2!$Q$1</c:f>
              <c:strCache>
                <c:ptCount val="1"/>
                <c:pt idx="0">
                  <c:v>Impostor mouse_max_z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33CC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mouse_2!$M$2:$M$61</c:f>
              <c:numCache>
                <c:formatCode>0.000</c:formatCode>
                <c:ptCount val="60"/>
                <c:pt idx="0">
                  <c:v>0.01</c:v>
                </c:pt>
                <c:pt idx="1">
                  <c:v>6.0000000000000005E-2</c:v>
                </c:pt>
                <c:pt idx="2">
                  <c:v>0.11000000000000001</c:v>
                </c:pt>
                <c:pt idx="3">
                  <c:v>0.16000000000000003</c:v>
                </c:pt>
                <c:pt idx="4">
                  <c:v>0.21000000000000002</c:v>
                </c:pt>
                <c:pt idx="5">
                  <c:v>0.26</c:v>
                </c:pt>
                <c:pt idx="6">
                  <c:v>0.31</c:v>
                </c:pt>
                <c:pt idx="7">
                  <c:v>0.36</c:v>
                </c:pt>
                <c:pt idx="8">
                  <c:v>0.41</c:v>
                </c:pt>
                <c:pt idx="9">
                  <c:v>0.45999999999999996</c:v>
                </c:pt>
                <c:pt idx="10">
                  <c:v>0.51</c:v>
                </c:pt>
                <c:pt idx="11">
                  <c:v>0.56000000000000005</c:v>
                </c:pt>
                <c:pt idx="12">
                  <c:v>0.6100000000000001</c:v>
                </c:pt>
                <c:pt idx="13">
                  <c:v>0.66000000000000014</c:v>
                </c:pt>
                <c:pt idx="14">
                  <c:v>0.71000000000000019</c:v>
                </c:pt>
                <c:pt idx="15">
                  <c:v>0.76000000000000023</c:v>
                </c:pt>
                <c:pt idx="16">
                  <c:v>0.81000000000000028</c:v>
                </c:pt>
                <c:pt idx="17">
                  <c:v>0.86000000000000032</c:v>
                </c:pt>
                <c:pt idx="18">
                  <c:v>0.91000000000000036</c:v>
                </c:pt>
                <c:pt idx="19">
                  <c:v>0.96000000000000041</c:v>
                </c:pt>
                <c:pt idx="20">
                  <c:v>1.0100000000000005</c:v>
                </c:pt>
                <c:pt idx="21">
                  <c:v>1.0600000000000005</c:v>
                </c:pt>
                <c:pt idx="22">
                  <c:v>1.1100000000000005</c:v>
                </c:pt>
                <c:pt idx="23">
                  <c:v>1.1600000000000006</c:v>
                </c:pt>
                <c:pt idx="24">
                  <c:v>1.2100000000000006</c:v>
                </c:pt>
                <c:pt idx="25">
                  <c:v>1.2600000000000007</c:v>
                </c:pt>
                <c:pt idx="26">
                  <c:v>1.3100000000000007</c:v>
                </c:pt>
                <c:pt idx="27">
                  <c:v>1.3600000000000008</c:v>
                </c:pt>
                <c:pt idx="28">
                  <c:v>1.4100000000000008</c:v>
                </c:pt>
                <c:pt idx="29">
                  <c:v>1.4600000000000009</c:v>
                </c:pt>
                <c:pt idx="30">
                  <c:v>1.5100000000000009</c:v>
                </c:pt>
                <c:pt idx="31">
                  <c:v>1.5600000000000009</c:v>
                </c:pt>
                <c:pt idx="32">
                  <c:v>1.610000000000001</c:v>
                </c:pt>
                <c:pt idx="33">
                  <c:v>1.660000000000001</c:v>
                </c:pt>
                <c:pt idx="34">
                  <c:v>1.7100000000000011</c:v>
                </c:pt>
                <c:pt idx="35">
                  <c:v>1.7600000000000011</c:v>
                </c:pt>
                <c:pt idx="36">
                  <c:v>1.8100000000000012</c:v>
                </c:pt>
                <c:pt idx="37">
                  <c:v>1.8600000000000012</c:v>
                </c:pt>
                <c:pt idx="38">
                  <c:v>1.9100000000000013</c:v>
                </c:pt>
                <c:pt idx="39">
                  <c:v>1.9600000000000013</c:v>
                </c:pt>
                <c:pt idx="40">
                  <c:v>2.0100000000000011</c:v>
                </c:pt>
                <c:pt idx="41">
                  <c:v>2.0600000000000009</c:v>
                </c:pt>
                <c:pt idx="42">
                  <c:v>2.1100000000000008</c:v>
                </c:pt>
                <c:pt idx="43">
                  <c:v>2.1600000000000006</c:v>
                </c:pt>
                <c:pt idx="44">
                  <c:v>2.2100000000000004</c:v>
                </c:pt>
                <c:pt idx="45">
                  <c:v>2.2600000000000002</c:v>
                </c:pt>
                <c:pt idx="46">
                  <c:v>2.31</c:v>
                </c:pt>
                <c:pt idx="47">
                  <c:v>2.36</c:v>
                </c:pt>
                <c:pt idx="48">
                  <c:v>2.4099999999999997</c:v>
                </c:pt>
                <c:pt idx="49">
                  <c:v>2.4599999999999995</c:v>
                </c:pt>
                <c:pt idx="50">
                  <c:v>2.5099999999999993</c:v>
                </c:pt>
                <c:pt idx="51">
                  <c:v>2.5599999999999992</c:v>
                </c:pt>
                <c:pt idx="52">
                  <c:v>2.609999999999999</c:v>
                </c:pt>
                <c:pt idx="53">
                  <c:v>2.6599999999999988</c:v>
                </c:pt>
                <c:pt idx="54">
                  <c:v>2.7099999999999986</c:v>
                </c:pt>
                <c:pt idx="55">
                  <c:v>2.7599999999999985</c:v>
                </c:pt>
                <c:pt idx="56">
                  <c:v>2.8099999999999983</c:v>
                </c:pt>
                <c:pt idx="57">
                  <c:v>2.8599999999999981</c:v>
                </c:pt>
                <c:pt idx="58">
                  <c:v>2.9099999999999979</c:v>
                </c:pt>
                <c:pt idx="59">
                  <c:v>2.9599999999999977</c:v>
                </c:pt>
              </c:numCache>
            </c:numRef>
          </c:xVal>
          <c:yVal>
            <c:numRef>
              <c:f>mouse_2!$Q$2:$Q$61</c:f>
              <c:numCache>
                <c:formatCode>General</c:formatCode>
                <c:ptCount val="60"/>
                <c:pt idx="0">
                  <c:v>0.68700000000000006</c:v>
                </c:pt>
                <c:pt idx="1">
                  <c:v>0.97699999999999998</c:v>
                </c:pt>
                <c:pt idx="2">
                  <c:v>1.1539999999999999</c:v>
                </c:pt>
                <c:pt idx="3">
                  <c:v>0.67200000000000004</c:v>
                </c:pt>
                <c:pt idx="4">
                  <c:v>0.90200000000000002</c:v>
                </c:pt>
                <c:pt idx="5">
                  <c:v>0.73099999999999998</c:v>
                </c:pt>
                <c:pt idx="6">
                  <c:v>2.1659999999999999</c:v>
                </c:pt>
                <c:pt idx="7">
                  <c:v>1.738</c:v>
                </c:pt>
                <c:pt idx="8">
                  <c:v>2.4910000000000001</c:v>
                </c:pt>
                <c:pt idx="9">
                  <c:v>2.5059999999999998</c:v>
                </c:pt>
                <c:pt idx="10">
                  <c:v>7.0359999999999996</c:v>
                </c:pt>
                <c:pt idx="11">
                  <c:v>7.78</c:v>
                </c:pt>
                <c:pt idx="12">
                  <c:v>1.716</c:v>
                </c:pt>
                <c:pt idx="13">
                  <c:v>3.7759999999999998</c:v>
                </c:pt>
                <c:pt idx="14">
                  <c:v>2.3130000000000002</c:v>
                </c:pt>
                <c:pt idx="15">
                  <c:v>1.716</c:v>
                </c:pt>
                <c:pt idx="16">
                  <c:v>6.1609999999999996</c:v>
                </c:pt>
                <c:pt idx="17">
                  <c:v>7.0359999999999996</c:v>
                </c:pt>
                <c:pt idx="18">
                  <c:v>8.173</c:v>
                </c:pt>
                <c:pt idx="19">
                  <c:v>8.7750000000000004</c:v>
                </c:pt>
                <c:pt idx="20">
                  <c:v>6.2249999999999996</c:v>
                </c:pt>
                <c:pt idx="21">
                  <c:v>1.702</c:v>
                </c:pt>
                <c:pt idx="22">
                  <c:v>4.851</c:v>
                </c:pt>
                <c:pt idx="23">
                  <c:v>6.2249999999999996</c:v>
                </c:pt>
                <c:pt idx="24">
                  <c:v>1.702</c:v>
                </c:pt>
                <c:pt idx="25">
                  <c:v>4.8650000000000002</c:v>
                </c:pt>
                <c:pt idx="26">
                  <c:v>2.86</c:v>
                </c:pt>
                <c:pt idx="27">
                  <c:v>1.702</c:v>
                </c:pt>
                <c:pt idx="28">
                  <c:v>4.8650000000000002</c:v>
                </c:pt>
                <c:pt idx="29">
                  <c:v>2.86</c:v>
                </c:pt>
                <c:pt idx="30">
                  <c:v>8.07</c:v>
                </c:pt>
                <c:pt idx="31">
                  <c:v>4.2389999999999999</c:v>
                </c:pt>
                <c:pt idx="32">
                  <c:v>3.9820000000000002</c:v>
                </c:pt>
                <c:pt idx="33">
                  <c:v>3.8610000000000002</c:v>
                </c:pt>
                <c:pt idx="34">
                  <c:v>4.6769999999999996</c:v>
                </c:pt>
                <c:pt idx="35">
                  <c:v>6.6609999999999996</c:v>
                </c:pt>
                <c:pt idx="36">
                  <c:v>6.0839999999999996</c:v>
                </c:pt>
                <c:pt idx="37">
                  <c:v>6.1829999999999998</c:v>
                </c:pt>
                <c:pt idx="38">
                  <c:v>4.5339999999999998</c:v>
                </c:pt>
                <c:pt idx="39">
                  <c:v>5.0309999999999997</c:v>
                </c:pt>
                <c:pt idx="40">
                  <c:v>4.1849999999999996</c:v>
                </c:pt>
                <c:pt idx="41">
                  <c:v>5.8179999999999996</c:v>
                </c:pt>
                <c:pt idx="42">
                  <c:v>5.6319999999999997</c:v>
                </c:pt>
                <c:pt idx="43">
                  <c:v>4.976</c:v>
                </c:pt>
                <c:pt idx="44">
                  <c:v>4.9089999999999998</c:v>
                </c:pt>
                <c:pt idx="45">
                  <c:v>4.1059999999999999</c:v>
                </c:pt>
                <c:pt idx="46">
                  <c:v>3.18</c:v>
                </c:pt>
                <c:pt idx="47">
                  <c:v>3.4889999999999999</c:v>
                </c:pt>
                <c:pt idx="48">
                  <c:v>1.7669999999999999</c:v>
                </c:pt>
                <c:pt idx="49">
                  <c:v>4.7089999999999996</c:v>
                </c:pt>
                <c:pt idx="50">
                  <c:v>2.1520000000000001</c:v>
                </c:pt>
                <c:pt idx="51">
                  <c:v>2.1520000000000001</c:v>
                </c:pt>
                <c:pt idx="52">
                  <c:v>1.1439999999999999</c:v>
                </c:pt>
                <c:pt idx="53">
                  <c:v>1.3340000000000001</c:v>
                </c:pt>
                <c:pt idx="54">
                  <c:v>1.556</c:v>
                </c:pt>
                <c:pt idx="55">
                  <c:v>0.53500000000000003</c:v>
                </c:pt>
                <c:pt idx="56">
                  <c:v>2.0539999999999998</c:v>
                </c:pt>
                <c:pt idx="57">
                  <c:v>1.794</c:v>
                </c:pt>
                <c:pt idx="58">
                  <c:v>1.7130000000000001</c:v>
                </c:pt>
                <c:pt idx="59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4E-4077-A223-7DBEC8DF3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99903"/>
        <c:axId val="497700383"/>
      </c:scatterChart>
      <c:valAx>
        <c:axId val="497699903"/>
        <c:scaling>
          <c:orientation val="minMax"/>
          <c:max val="3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Z-Score Threshold Scale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34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00383"/>
        <c:crosses val="autoZero"/>
        <c:crossBetween val="midCat"/>
        <c:majorUnit val="0.1"/>
      </c:valAx>
      <c:valAx>
        <c:axId val="497700383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Z-Score Average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99903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Keystrokes: Genuine vs Impostor Avg Z-Scores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'keystroke specific'!$AJ$70</c:f>
              <c:strCache>
                <c:ptCount val="1"/>
                <c:pt idx="0">
                  <c:v>Genuine 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specific'!$AJ$71:$AJ$130</c:f>
              <c:numCache>
                <c:formatCode>General</c:formatCode>
                <c:ptCount val="60"/>
                <c:pt idx="0">
                  <c:v>0.26500000000000001</c:v>
                </c:pt>
                <c:pt idx="1">
                  <c:v>0.159</c:v>
                </c:pt>
                <c:pt idx="2">
                  <c:v>0.373</c:v>
                </c:pt>
                <c:pt idx="3">
                  <c:v>0.28699999999999998</c:v>
                </c:pt>
                <c:pt idx="4">
                  <c:v>0.33700000000000002</c:v>
                </c:pt>
                <c:pt idx="5">
                  <c:v>0.13600000000000001</c:v>
                </c:pt>
                <c:pt idx="6">
                  <c:v>0.129</c:v>
                </c:pt>
                <c:pt idx="7">
                  <c:v>0.17899999999999999</c:v>
                </c:pt>
                <c:pt idx="8">
                  <c:v>0.22800000000000001</c:v>
                </c:pt>
                <c:pt idx="9">
                  <c:v>0.14399999999999999</c:v>
                </c:pt>
                <c:pt idx="10">
                  <c:v>0.124</c:v>
                </c:pt>
                <c:pt idx="11">
                  <c:v>0.15</c:v>
                </c:pt>
                <c:pt idx="12">
                  <c:v>0.13500000000000001</c:v>
                </c:pt>
                <c:pt idx="13">
                  <c:v>0.14699999999999999</c:v>
                </c:pt>
                <c:pt idx="14">
                  <c:v>0.31</c:v>
                </c:pt>
                <c:pt idx="15">
                  <c:v>0.254</c:v>
                </c:pt>
                <c:pt idx="16">
                  <c:v>0.09</c:v>
                </c:pt>
                <c:pt idx="17">
                  <c:v>0.154</c:v>
                </c:pt>
                <c:pt idx="18">
                  <c:v>0.249</c:v>
                </c:pt>
                <c:pt idx="19">
                  <c:v>0.35</c:v>
                </c:pt>
                <c:pt idx="20">
                  <c:v>4.7E-2</c:v>
                </c:pt>
                <c:pt idx="21">
                  <c:v>0.129</c:v>
                </c:pt>
                <c:pt idx="22">
                  <c:v>6.7000000000000004E-2</c:v>
                </c:pt>
                <c:pt idx="23">
                  <c:v>0.22900000000000001</c:v>
                </c:pt>
                <c:pt idx="24">
                  <c:v>0.13200000000000001</c:v>
                </c:pt>
                <c:pt idx="25">
                  <c:v>0.22800000000000001</c:v>
                </c:pt>
                <c:pt idx="26">
                  <c:v>3.5999999999999997E-2</c:v>
                </c:pt>
                <c:pt idx="27">
                  <c:v>0.92100000000000004</c:v>
                </c:pt>
                <c:pt idx="28">
                  <c:v>0.67800000000000005</c:v>
                </c:pt>
                <c:pt idx="29">
                  <c:v>0.61599999999999999</c:v>
                </c:pt>
                <c:pt idx="30">
                  <c:v>0.26</c:v>
                </c:pt>
                <c:pt idx="31">
                  <c:v>4.5999999999999999E-2</c:v>
                </c:pt>
                <c:pt idx="32">
                  <c:v>0.28199999999999997</c:v>
                </c:pt>
                <c:pt idx="33">
                  <c:v>0.157</c:v>
                </c:pt>
                <c:pt idx="34">
                  <c:v>0.32200000000000001</c:v>
                </c:pt>
                <c:pt idx="35">
                  <c:v>0.219</c:v>
                </c:pt>
                <c:pt idx="36">
                  <c:v>0.248</c:v>
                </c:pt>
                <c:pt idx="37">
                  <c:v>9.1790000000000003</c:v>
                </c:pt>
                <c:pt idx="38">
                  <c:v>0.17699999999999999</c:v>
                </c:pt>
                <c:pt idx="39">
                  <c:v>0.25800000000000001</c:v>
                </c:pt>
                <c:pt idx="40">
                  <c:v>0.16</c:v>
                </c:pt>
                <c:pt idx="41">
                  <c:v>0.24199999999999999</c:v>
                </c:pt>
                <c:pt idx="42">
                  <c:v>0.35299999999999998</c:v>
                </c:pt>
                <c:pt idx="43">
                  <c:v>0.14799999999999999</c:v>
                </c:pt>
                <c:pt idx="44">
                  <c:v>0.111</c:v>
                </c:pt>
                <c:pt idx="45">
                  <c:v>7.9000000000000001E-2</c:v>
                </c:pt>
                <c:pt idx="46">
                  <c:v>6.6000000000000003E-2</c:v>
                </c:pt>
                <c:pt idx="47">
                  <c:v>0.29599999999999999</c:v>
                </c:pt>
                <c:pt idx="48">
                  <c:v>0.29599999999999999</c:v>
                </c:pt>
                <c:pt idx="49">
                  <c:v>0.25600000000000001</c:v>
                </c:pt>
                <c:pt idx="50">
                  <c:v>8.5000000000000006E-2</c:v>
                </c:pt>
                <c:pt idx="51">
                  <c:v>0.23899999999999999</c:v>
                </c:pt>
                <c:pt idx="52">
                  <c:v>6.8000000000000005E-2</c:v>
                </c:pt>
                <c:pt idx="53">
                  <c:v>0.189</c:v>
                </c:pt>
                <c:pt idx="54">
                  <c:v>0.307</c:v>
                </c:pt>
                <c:pt idx="55">
                  <c:v>0.30099999999999999</c:v>
                </c:pt>
                <c:pt idx="56">
                  <c:v>8.5000000000000006E-2</c:v>
                </c:pt>
                <c:pt idx="57">
                  <c:v>0.193</c:v>
                </c:pt>
                <c:pt idx="58">
                  <c:v>0.13300000000000001</c:v>
                </c:pt>
                <c:pt idx="59">
                  <c:v>0.16900000000000001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F-45C9-A0CB-CDA54FD3E067}"/>
            </c:ext>
          </c:extLst>
        </c:ser>
        <c:ser>
          <c:idx val="1"/>
          <c:order val="1"/>
          <c:tx>
            <c:strRef>
              <c:f>'keystroke specific'!$AK$70</c:f>
              <c:strCache>
                <c:ptCount val="1"/>
                <c:pt idx="0">
                  <c:v>Impostor 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specific'!$AK$71:$AK$130</c:f>
              <c:numCache>
                <c:formatCode>General</c:formatCode>
                <c:ptCount val="60"/>
                <c:pt idx="0">
                  <c:v>0.13900000000000001</c:v>
                </c:pt>
                <c:pt idx="1">
                  <c:v>3.6070000000000002</c:v>
                </c:pt>
                <c:pt idx="2">
                  <c:v>0.63900000000000001</c:v>
                </c:pt>
                <c:pt idx="3">
                  <c:v>0.93200000000000005</c:v>
                </c:pt>
                <c:pt idx="4">
                  <c:v>1.4350000000000001</c:v>
                </c:pt>
                <c:pt idx="5">
                  <c:v>0.17399999999999999</c:v>
                </c:pt>
                <c:pt idx="6">
                  <c:v>0.58499999999999996</c:v>
                </c:pt>
                <c:pt idx="7">
                  <c:v>0.92400000000000004</c:v>
                </c:pt>
                <c:pt idx="8">
                  <c:v>0.78300000000000003</c:v>
                </c:pt>
                <c:pt idx="9">
                  <c:v>1.264</c:v>
                </c:pt>
                <c:pt idx="10">
                  <c:v>1.3819999999999999</c:v>
                </c:pt>
                <c:pt idx="11">
                  <c:v>1.089</c:v>
                </c:pt>
                <c:pt idx="12">
                  <c:v>2.89</c:v>
                </c:pt>
                <c:pt idx="13">
                  <c:v>0.16700000000000001</c:v>
                </c:pt>
                <c:pt idx="14">
                  <c:v>1.1299999999999999</c:v>
                </c:pt>
                <c:pt idx="15">
                  <c:v>1.0680000000000001</c:v>
                </c:pt>
                <c:pt idx="16">
                  <c:v>0.96499999999999997</c:v>
                </c:pt>
                <c:pt idx="17">
                  <c:v>1.6220000000000001</c:v>
                </c:pt>
                <c:pt idx="18">
                  <c:v>1.016</c:v>
                </c:pt>
                <c:pt idx="19">
                  <c:v>2.65</c:v>
                </c:pt>
                <c:pt idx="20">
                  <c:v>0.95499999999999996</c:v>
                </c:pt>
                <c:pt idx="21">
                  <c:v>0.45900000000000002</c:v>
                </c:pt>
                <c:pt idx="22">
                  <c:v>0.76</c:v>
                </c:pt>
                <c:pt idx="23">
                  <c:v>0.95499999999999996</c:v>
                </c:pt>
                <c:pt idx="24">
                  <c:v>0.45900000000000002</c:v>
                </c:pt>
                <c:pt idx="25">
                  <c:v>0.55200000000000005</c:v>
                </c:pt>
                <c:pt idx="26">
                  <c:v>0.94499999999999995</c:v>
                </c:pt>
                <c:pt idx="27">
                  <c:v>0.45900000000000002</c:v>
                </c:pt>
                <c:pt idx="28">
                  <c:v>0.55200000000000005</c:v>
                </c:pt>
                <c:pt idx="29">
                  <c:v>0.94499999999999995</c:v>
                </c:pt>
                <c:pt idx="30">
                  <c:v>0.58399999999999996</c:v>
                </c:pt>
                <c:pt idx="31">
                  <c:v>1.9770000000000001</c:v>
                </c:pt>
                <c:pt idx="32">
                  <c:v>0.58599999999999997</c:v>
                </c:pt>
                <c:pt idx="33">
                  <c:v>0.60399999999999998</c:v>
                </c:pt>
                <c:pt idx="34">
                  <c:v>0.63200000000000001</c:v>
                </c:pt>
                <c:pt idx="35">
                  <c:v>0.52900000000000003</c:v>
                </c:pt>
                <c:pt idx="36">
                  <c:v>0.433</c:v>
                </c:pt>
                <c:pt idx="37">
                  <c:v>0.376</c:v>
                </c:pt>
                <c:pt idx="38">
                  <c:v>0.46700000000000003</c:v>
                </c:pt>
                <c:pt idx="39">
                  <c:v>0.56299999999999994</c:v>
                </c:pt>
                <c:pt idx="40">
                  <c:v>0.86699999999999999</c:v>
                </c:pt>
                <c:pt idx="41">
                  <c:v>0.49</c:v>
                </c:pt>
                <c:pt idx="42">
                  <c:v>0.34799999999999998</c:v>
                </c:pt>
                <c:pt idx="43">
                  <c:v>0.41099999999999998</c:v>
                </c:pt>
                <c:pt idx="44">
                  <c:v>0.54</c:v>
                </c:pt>
                <c:pt idx="45">
                  <c:v>1.2629999999999999</c:v>
                </c:pt>
                <c:pt idx="46">
                  <c:v>0.52</c:v>
                </c:pt>
                <c:pt idx="47">
                  <c:v>0.46899999999999997</c:v>
                </c:pt>
                <c:pt idx="48">
                  <c:v>0.11</c:v>
                </c:pt>
                <c:pt idx="49">
                  <c:v>0.55700000000000005</c:v>
                </c:pt>
                <c:pt idx="50">
                  <c:v>0.63700000000000001</c:v>
                </c:pt>
                <c:pt idx="51">
                  <c:v>0.53700000000000003</c:v>
                </c:pt>
                <c:pt idx="52">
                  <c:v>0.91300000000000003</c:v>
                </c:pt>
                <c:pt idx="53">
                  <c:v>0.83399999999999996</c:v>
                </c:pt>
                <c:pt idx="54">
                  <c:v>0.73599999999999999</c:v>
                </c:pt>
                <c:pt idx="55">
                  <c:v>1.248</c:v>
                </c:pt>
                <c:pt idx="56">
                  <c:v>0.53600000000000003</c:v>
                </c:pt>
                <c:pt idx="57">
                  <c:v>1.548</c:v>
                </c:pt>
                <c:pt idx="58">
                  <c:v>0.432</c:v>
                </c:pt>
                <c:pt idx="59">
                  <c:v>0.56699999999999995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AF-45C9-A0CB-CDA54FD3E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77823"/>
        <c:axId val="497678303"/>
      </c:scatterChart>
      <c:valAx>
        <c:axId val="49767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Threshold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78303"/>
        <c:crosses val="autoZero"/>
        <c:crossBetween val="midCat"/>
        <c:majorUnit val="0.1"/>
      </c:valAx>
      <c:valAx>
        <c:axId val="497678303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Z Score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7782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Keystrokes: Genuine vs Impostor Max Z-Scores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'keystroke specific'!$AM$70</c:f>
              <c:strCache>
                <c:ptCount val="1"/>
                <c:pt idx="0">
                  <c:v>Genuine Max_Z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specific'!$AM$71:$AM$130</c:f>
              <c:numCache>
                <c:formatCode>General</c:formatCode>
                <c:ptCount val="60"/>
                <c:pt idx="0">
                  <c:v>0.32200000000000001</c:v>
                </c:pt>
                <c:pt idx="1">
                  <c:v>0.20599999999999999</c:v>
                </c:pt>
                <c:pt idx="2">
                  <c:v>0.50700000000000001</c:v>
                </c:pt>
                <c:pt idx="3">
                  <c:v>0.36699999999999999</c:v>
                </c:pt>
                <c:pt idx="4">
                  <c:v>0.38200000000000001</c:v>
                </c:pt>
                <c:pt idx="5">
                  <c:v>0.308</c:v>
                </c:pt>
                <c:pt idx="6">
                  <c:v>0.42</c:v>
                </c:pt>
                <c:pt idx="7">
                  <c:v>0.314</c:v>
                </c:pt>
                <c:pt idx="8">
                  <c:v>0.33400000000000002</c:v>
                </c:pt>
                <c:pt idx="9">
                  <c:v>0.23400000000000001</c:v>
                </c:pt>
                <c:pt idx="10">
                  <c:v>0.20799999999999999</c:v>
                </c:pt>
                <c:pt idx="11">
                  <c:v>0.157</c:v>
                </c:pt>
                <c:pt idx="12">
                  <c:v>0.30499999999999999</c:v>
                </c:pt>
                <c:pt idx="13">
                  <c:v>0.23</c:v>
                </c:pt>
                <c:pt idx="14">
                  <c:v>0.438</c:v>
                </c:pt>
                <c:pt idx="15">
                  <c:v>0.34899999999999998</c:v>
                </c:pt>
                <c:pt idx="16">
                  <c:v>0.188</c:v>
                </c:pt>
                <c:pt idx="17">
                  <c:v>0.20200000000000001</c:v>
                </c:pt>
                <c:pt idx="18">
                  <c:v>0.42499999999999999</c:v>
                </c:pt>
                <c:pt idx="19">
                  <c:v>0.41</c:v>
                </c:pt>
                <c:pt idx="20">
                  <c:v>7.0999999999999994E-2</c:v>
                </c:pt>
                <c:pt idx="21">
                  <c:v>0.14000000000000001</c:v>
                </c:pt>
                <c:pt idx="22">
                  <c:v>0.14599999999999999</c:v>
                </c:pt>
                <c:pt idx="23">
                  <c:v>0.27600000000000002</c:v>
                </c:pt>
                <c:pt idx="24">
                  <c:v>0.27900000000000003</c:v>
                </c:pt>
                <c:pt idx="25">
                  <c:v>0.40400000000000003</c:v>
                </c:pt>
                <c:pt idx="26">
                  <c:v>9.6000000000000002E-2</c:v>
                </c:pt>
                <c:pt idx="27">
                  <c:v>1.341</c:v>
                </c:pt>
                <c:pt idx="28">
                  <c:v>0.89500000000000002</c:v>
                </c:pt>
                <c:pt idx="29">
                  <c:v>0.83699999999999997</c:v>
                </c:pt>
                <c:pt idx="30">
                  <c:v>0.33700000000000002</c:v>
                </c:pt>
                <c:pt idx="31">
                  <c:v>7.2999999999999995E-2</c:v>
                </c:pt>
                <c:pt idx="32">
                  <c:v>0.42199999999999999</c:v>
                </c:pt>
                <c:pt idx="33">
                  <c:v>0.39100000000000001</c:v>
                </c:pt>
                <c:pt idx="34">
                  <c:v>0.38500000000000001</c:v>
                </c:pt>
                <c:pt idx="35">
                  <c:v>0.29499999999999998</c:v>
                </c:pt>
                <c:pt idx="36">
                  <c:v>0.28999999999999998</c:v>
                </c:pt>
                <c:pt idx="37">
                  <c:v>35.81</c:v>
                </c:pt>
                <c:pt idx="38">
                  <c:v>0.22500000000000001</c:v>
                </c:pt>
                <c:pt idx="39">
                  <c:v>0.57399999999999995</c:v>
                </c:pt>
                <c:pt idx="40">
                  <c:v>0.21099999999999999</c:v>
                </c:pt>
                <c:pt idx="41">
                  <c:v>0.40200000000000002</c:v>
                </c:pt>
                <c:pt idx="42">
                  <c:v>0.48299999999999998</c:v>
                </c:pt>
                <c:pt idx="43">
                  <c:v>0.26300000000000001</c:v>
                </c:pt>
                <c:pt idx="44">
                  <c:v>0.41199999999999998</c:v>
                </c:pt>
                <c:pt idx="45">
                  <c:v>0.21199999999999999</c:v>
                </c:pt>
                <c:pt idx="46">
                  <c:v>0.23100000000000001</c:v>
                </c:pt>
                <c:pt idx="47">
                  <c:v>0.72299999999999998</c:v>
                </c:pt>
                <c:pt idx="48">
                  <c:v>0.72299999999999998</c:v>
                </c:pt>
                <c:pt idx="49">
                  <c:v>0.37</c:v>
                </c:pt>
                <c:pt idx="50">
                  <c:v>0.379</c:v>
                </c:pt>
                <c:pt idx="51">
                  <c:v>0.34200000000000003</c:v>
                </c:pt>
                <c:pt idx="52">
                  <c:v>9.1999999999999998E-2</c:v>
                </c:pt>
                <c:pt idx="53">
                  <c:v>0.218</c:v>
                </c:pt>
                <c:pt idx="54">
                  <c:v>0.379</c:v>
                </c:pt>
                <c:pt idx="55">
                  <c:v>0.33800000000000002</c:v>
                </c:pt>
                <c:pt idx="56">
                  <c:v>9.1999999999999998E-2</c:v>
                </c:pt>
                <c:pt idx="57">
                  <c:v>0.247</c:v>
                </c:pt>
                <c:pt idx="58">
                  <c:v>0.16900000000000001</c:v>
                </c:pt>
                <c:pt idx="59">
                  <c:v>0.28599999999999998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4E-4DBE-86CC-627D868DD154}"/>
            </c:ext>
          </c:extLst>
        </c:ser>
        <c:ser>
          <c:idx val="1"/>
          <c:order val="1"/>
          <c:tx>
            <c:strRef>
              <c:f>'keystroke specific'!$AN$70</c:f>
              <c:strCache>
                <c:ptCount val="1"/>
                <c:pt idx="0">
                  <c:v>Impostor Max_Z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specific'!$AN$71:$AN$130</c:f>
              <c:numCache>
                <c:formatCode>General</c:formatCode>
                <c:ptCount val="60"/>
                <c:pt idx="0">
                  <c:v>0.191</c:v>
                </c:pt>
                <c:pt idx="1">
                  <c:v>12.323</c:v>
                </c:pt>
                <c:pt idx="2">
                  <c:v>0.90500000000000003</c:v>
                </c:pt>
                <c:pt idx="3">
                  <c:v>1.1379999999999999</c:v>
                </c:pt>
                <c:pt idx="4">
                  <c:v>1.712</c:v>
                </c:pt>
                <c:pt idx="5">
                  <c:v>0.23799999999999999</c:v>
                </c:pt>
                <c:pt idx="6">
                  <c:v>0.63800000000000001</c:v>
                </c:pt>
                <c:pt idx="7">
                  <c:v>2.1579999999999999</c:v>
                </c:pt>
                <c:pt idx="8">
                  <c:v>1.113</c:v>
                </c:pt>
                <c:pt idx="9">
                  <c:v>1.5469999999999999</c:v>
                </c:pt>
                <c:pt idx="10">
                  <c:v>3.0489999999999999</c:v>
                </c:pt>
                <c:pt idx="11">
                  <c:v>1.2170000000000001</c:v>
                </c:pt>
                <c:pt idx="12">
                  <c:v>3.3740000000000001</c:v>
                </c:pt>
                <c:pt idx="13">
                  <c:v>0.377</c:v>
                </c:pt>
                <c:pt idx="14">
                  <c:v>1.294</c:v>
                </c:pt>
                <c:pt idx="15">
                  <c:v>1.212</c:v>
                </c:pt>
                <c:pt idx="16">
                  <c:v>1.262</c:v>
                </c:pt>
                <c:pt idx="17">
                  <c:v>2.0489999999999999</c:v>
                </c:pt>
                <c:pt idx="18">
                  <c:v>1.5169999999999999</c:v>
                </c:pt>
                <c:pt idx="19">
                  <c:v>3.3740000000000001</c:v>
                </c:pt>
                <c:pt idx="20">
                  <c:v>1.0880000000000001</c:v>
                </c:pt>
                <c:pt idx="21">
                  <c:v>0.79600000000000004</c:v>
                </c:pt>
                <c:pt idx="22">
                  <c:v>0.83799999999999997</c:v>
                </c:pt>
                <c:pt idx="23">
                  <c:v>1.0880000000000001</c:v>
                </c:pt>
                <c:pt idx="24">
                  <c:v>0.79600000000000004</c:v>
                </c:pt>
                <c:pt idx="25">
                  <c:v>1.4410000000000001</c:v>
                </c:pt>
                <c:pt idx="26">
                  <c:v>1.2170000000000001</c:v>
                </c:pt>
                <c:pt idx="27">
                  <c:v>0.79600000000000004</c:v>
                </c:pt>
                <c:pt idx="28">
                  <c:v>1.4410000000000001</c:v>
                </c:pt>
                <c:pt idx="29">
                  <c:v>1.2170000000000001</c:v>
                </c:pt>
                <c:pt idx="30">
                  <c:v>0.63100000000000001</c:v>
                </c:pt>
                <c:pt idx="31">
                  <c:v>6.0709999999999997</c:v>
                </c:pt>
                <c:pt idx="32">
                  <c:v>0.65100000000000002</c:v>
                </c:pt>
                <c:pt idx="33">
                  <c:v>1.091</c:v>
                </c:pt>
                <c:pt idx="34">
                  <c:v>1.157</c:v>
                </c:pt>
                <c:pt idx="35">
                  <c:v>0.77</c:v>
                </c:pt>
                <c:pt idx="36">
                  <c:v>1.111</c:v>
                </c:pt>
                <c:pt idx="37">
                  <c:v>0.41499999999999998</c:v>
                </c:pt>
                <c:pt idx="38">
                  <c:v>0.67100000000000004</c:v>
                </c:pt>
                <c:pt idx="39">
                  <c:v>0.71699999999999997</c:v>
                </c:pt>
                <c:pt idx="40">
                  <c:v>2.2160000000000002</c:v>
                </c:pt>
                <c:pt idx="41">
                  <c:v>0.53</c:v>
                </c:pt>
                <c:pt idx="42">
                  <c:v>0.76100000000000001</c:v>
                </c:pt>
                <c:pt idx="43">
                  <c:v>0.55200000000000005</c:v>
                </c:pt>
                <c:pt idx="44">
                  <c:v>0.68799999999999994</c:v>
                </c:pt>
                <c:pt idx="45">
                  <c:v>3.51</c:v>
                </c:pt>
                <c:pt idx="46">
                  <c:v>0.629</c:v>
                </c:pt>
                <c:pt idx="47">
                  <c:v>0.56399999999999995</c:v>
                </c:pt>
                <c:pt idx="48">
                  <c:v>0.4</c:v>
                </c:pt>
                <c:pt idx="49">
                  <c:v>0.59699999999999998</c:v>
                </c:pt>
                <c:pt idx="50">
                  <c:v>1.9490000000000001</c:v>
                </c:pt>
                <c:pt idx="51">
                  <c:v>1.7490000000000001</c:v>
                </c:pt>
                <c:pt idx="52">
                  <c:v>3.33</c:v>
                </c:pt>
                <c:pt idx="53">
                  <c:v>2.4319999999999999</c:v>
                </c:pt>
                <c:pt idx="54">
                  <c:v>2.335</c:v>
                </c:pt>
                <c:pt idx="55">
                  <c:v>4.5839999999999996</c:v>
                </c:pt>
                <c:pt idx="56">
                  <c:v>1.488</c:v>
                </c:pt>
                <c:pt idx="57">
                  <c:v>1.629</c:v>
                </c:pt>
                <c:pt idx="58">
                  <c:v>1.625</c:v>
                </c:pt>
                <c:pt idx="59">
                  <c:v>1.7410000000000001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4E-4DBE-86CC-627D868DD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77823"/>
        <c:axId val="497678303"/>
      </c:scatterChart>
      <c:valAx>
        <c:axId val="49767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Threshold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78303"/>
        <c:crosses val="autoZero"/>
        <c:crossBetween val="midCat"/>
        <c:majorUnit val="0.1"/>
      </c:valAx>
      <c:valAx>
        <c:axId val="497678303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Max Z Score 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7782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Keystrokes: Genuine &amp; Impostor Average Z, Max Z Values with Thresholds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'keystroke specific'!$AJ$70</c:f>
              <c:strCache>
                <c:ptCount val="1"/>
                <c:pt idx="0">
                  <c:v>Genuine 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specific'!$AJ$71:$AJ$130</c:f>
              <c:numCache>
                <c:formatCode>General</c:formatCode>
                <c:ptCount val="60"/>
                <c:pt idx="0">
                  <c:v>0.26500000000000001</c:v>
                </c:pt>
                <c:pt idx="1">
                  <c:v>0.159</c:v>
                </c:pt>
                <c:pt idx="2">
                  <c:v>0.373</c:v>
                </c:pt>
                <c:pt idx="3">
                  <c:v>0.28699999999999998</c:v>
                </c:pt>
                <c:pt idx="4">
                  <c:v>0.33700000000000002</c:v>
                </c:pt>
                <c:pt idx="5">
                  <c:v>0.13600000000000001</c:v>
                </c:pt>
                <c:pt idx="6">
                  <c:v>0.129</c:v>
                </c:pt>
                <c:pt idx="7">
                  <c:v>0.17899999999999999</c:v>
                </c:pt>
                <c:pt idx="8">
                  <c:v>0.22800000000000001</c:v>
                </c:pt>
                <c:pt idx="9">
                  <c:v>0.14399999999999999</c:v>
                </c:pt>
                <c:pt idx="10">
                  <c:v>0.124</c:v>
                </c:pt>
                <c:pt idx="11">
                  <c:v>0.15</c:v>
                </c:pt>
                <c:pt idx="12">
                  <c:v>0.13500000000000001</c:v>
                </c:pt>
                <c:pt idx="13">
                  <c:v>0.14699999999999999</c:v>
                </c:pt>
                <c:pt idx="14">
                  <c:v>0.31</c:v>
                </c:pt>
                <c:pt idx="15">
                  <c:v>0.254</c:v>
                </c:pt>
                <c:pt idx="16">
                  <c:v>0.09</c:v>
                </c:pt>
                <c:pt idx="17">
                  <c:v>0.154</c:v>
                </c:pt>
                <c:pt idx="18">
                  <c:v>0.249</c:v>
                </c:pt>
                <c:pt idx="19">
                  <c:v>0.35</c:v>
                </c:pt>
                <c:pt idx="20">
                  <c:v>4.7E-2</c:v>
                </c:pt>
                <c:pt idx="21">
                  <c:v>0.129</c:v>
                </c:pt>
                <c:pt idx="22">
                  <c:v>6.7000000000000004E-2</c:v>
                </c:pt>
                <c:pt idx="23">
                  <c:v>0.22900000000000001</c:v>
                </c:pt>
                <c:pt idx="24">
                  <c:v>0.13200000000000001</c:v>
                </c:pt>
                <c:pt idx="25">
                  <c:v>0.22800000000000001</c:v>
                </c:pt>
                <c:pt idx="26">
                  <c:v>3.5999999999999997E-2</c:v>
                </c:pt>
                <c:pt idx="27">
                  <c:v>0.92100000000000004</c:v>
                </c:pt>
                <c:pt idx="28">
                  <c:v>0.67800000000000005</c:v>
                </c:pt>
                <c:pt idx="29">
                  <c:v>0.61599999999999999</c:v>
                </c:pt>
                <c:pt idx="30">
                  <c:v>0.26</c:v>
                </c:pt>
                <c:pt idx="31">
                  <c:v>4.5999999999999999E-2</c:v>
                </c:pt>
                <c:pt idx="32">
                  <c:v>0.28199999999999997</c:v>
                </c:pt>
                <c:pt idx="33">
                  <c:v>0.157</c:v>
                </c:pt>
                <c:pt idx="34">
                  <c:v>0.32200000000000001</c:v>
                </c:pt>
                <c:pt idx="35">
                  <c:v>0.219</c:v>
                </c:pt>
                <c:pt idx="36">
                  <c:v>0.248</c:v>
                </c:pt>
                <c:pt idx="37">
                  <c:v>9.1790000000000003</c:v>
                </c:pt>
                <c:pt idx="38">
                  <c:v>0.17699999999999999</c:v>
                </c:pt>
                <c:pt idx="39">
                  <c:v>0.25800000000000001</c:v>
                </c:pt>
                <c:pt idx="40">
                  <c:v>0.16</c:v>
                </c:pt>
                <c:pt idx="41">
                  <c:v>0.24199999999999999</c:v>
                </c:pt>
                <c:pt idx="42">
                  <c:v>0.35299999999999998</c:v>
                </c:pt>
                <c:pt idx="43">
                  <c:v>0.14799999999999999</c:v>
                </c:pt>
                <c:pt idx="44">
                  <c:v>0.111</c:v>
                </c:pt>
                <c:pt idx="45">
                  <c:v>7.9000000000000001E-2</c:v>
                </c:pt>
                <c:pt idx="46">
                  <c:v>6.6000000000000003E-2</c:v>
                </c:pt>
                <c:pt idx="47">
                  <c:v>0.29599999999999999</c:v>
                </c:pt>
                <c:pt idx="48">
                  <c:v>0.29599999999999999</c:v>
                </c:pt>
                <c:pt idx="49">
                  <c:v>0.25600000000000001</c:v>
                </c:pt>
                <c:pt idx="50">
                  <c:v>8.5000000000000006E-2</c:v>
                </c:pt>
                <c:pt idx="51">
                  <c:v>0.23899999999999999</c:v>
                </c:pt>
                <c:pt idx="52">
                  <c:v>6.8000000000000005E-2</c:v>
                </c:pt>
                <c:pt idx="53">
                  <c:v>0.189</c:v>
                </c:pt>
                <c:pt idx="54">
                  <c:v>0.307</c:v>
                </c:pt>
                <c:pt idx="55">
                  <c:v>0.30099999999999999</c:v>
                </c:pt>
                <c:pt idx="56">
                  <c:v>8.5000000000000006E-2</c:v>
                </c:pt>
                <c:pt idx="57">
                  <c:v>0.193</c:v>
                </c:pt>
                <c:pt idx="58">
                  <c:v>0.13300000000000001</c:v>
                </c:pt>
                <c:pt idx="59">
                  <c:v>0.16900000000000001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C8-42FF-871A-74C9FD22C9C8}"/>
            </c:ext>
          </c:extLst>
        </c:ser>
        <c:ser>
          <c:idx val="1"/>
          <c:order val="1"/>
          <c:tx>
            <c:strRef>
              <c:f>'keystroke specific'!$AK$70</c:f>
              <c:strCache>
                <c:ptCount val="1"/>
                <c:pt idx="0">
                  <c:v>Impostor 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specific'!$AK$71:$AK$130</c:f>
              <c:numCache>
                <c:formatCode>General</c:formatCode>
                <c:ptCount val="60"/>
                <c:pt idx="0">
                  <c:v>0.13900000000000001</c:v>
                </c:pt>
                <c:pt idx="1">
                  <c:v>3.6070000000000002</c:v>
                </c:pt>
                <c:pt idx="2">
                  <c:v>0.63900000000000001</c:v>
                </c:pt>
                <c:pt idx="3">
                  <c:v>0.93200000000000005</c:v>
                </c:pt>
                <c:pt idx="4">
                  <c:v>1.4350000000000001</c:v>
                </c:pt>
                <c:pt idx="5">
                  <c:v>0.17399999999999999</c:v>
                </c:pt>
                <c:pt idx="6">
                  <c:v>0.58499999999999996</c:v>
                </c:pt>
                <c:pt idx="7">
                  <c:v>0.92400000000000004</c:v>
                </c:pt>
                <c:pt idx="8">
                  <c:v>0.78300000000000003</c:v>
                </c:pt>
                <c:pt idx="9">
                  <c:v>1.264</c:v>
                </c:pt>
                <c:pt idx="10">
                  <c:v>1.3819999999999999</c:v>
                </c:pt>
                <c:pt idx="11">
                  <c:v>1.089</c:v>
                </c:pt>
                <c:pt idx="12">
                  <c:v>2.89</c:v>
                </c:pt>
                <c:pt idx="13">
                  <c:v>0.16700000000000001</c:v>
                </c:pt>
                <c:pt idx="14">
                  <c:v>1.1299999999999999</c:v>
                </c:pt>
                <c:pt idx="15">
                  <c:v>1.0680000000000001</c:v>
                </c:pt>
                <c:pt idx="16">
                  <c:v>0.96499999999999997</c:v>
                </c:pt>
                <c:pt idx="17">
                  <c:v>1.6220000000000001</c:v>
                </c:pt>
                <c:pt idx="18">
                  <c:v>1.016</c:v>
                </c:pt>
                <c:pt idx="19">
                  <c:v>2.65</c:v>
                </c:pt>
                <c:pt idx="20">
                  <c:v>0.95499999999999996</c:v>
                </c:pt>
                <c:pt idx="21">
                  <c:v>0.45900000000000002</c:v>
                </c:pt>
                <c:pt idx="22">
                  <c:v>0.76</c:v>
                </c:pt>
                <c:pt idx="23">
                  <c:v>0.95499999999999996</c:v>
                </c:pt>
                <c:pt idx="24">
                  <c:v>0.45900000000000002</c:v>
                </c:pt>
                <c:pt idx="25">
                  <c:v>0.55200000000000005</c:v>
                </c:pt>
                <c:pt idx="26">
                  <c:v>0.94499999999999995</c:v>
                </c:pt>
                <c:pt idx="27">
                  <c:v>0.45900000000000002</c:v>
                </c:pt>
                <c:pt idx="28">
                  <c:v>0.55200000000000005</c:v>
                </c:pt>
                <c:pt idx="29">
                  <c:v>0.94499999999999995</c:v>
                </c:pt>
                <c:pt idx="30">
                  <c:v>0.58399999999999996</c:v>
                </c:pt>
                <c:pt idx="31">
                  <c:v>1.9770000000000001</c:v>
                </c:pt>
                <c:pt idx="32">
                  <c:v>0.58599999999999997</c:v>
                </c:pt>
                <c:pt idx="33">
                  <c:v>0.60399999999999998</c:v>
                </c:pt>
                <c:pt idx="34">
                  <c:v>0.63200000000000001</c:v>
                </c:pt>
                <c:pt idx="35">
                  <c:v>0.52900000000000003</c:v>
                </c:pt>
                <c:pt idx="36">
                  <c:v>0.433</c:v>
                </c:pt>
                <c:pt idx="37">
                  <c:v>0.376</c:v>
                </c:pt>
                <c:pt idx="38">
                  <c:v>0.46700000000000003</c:v>
                </c:pt>
                <c:pt idx="39">
                  <c:v>0.56299999999999994</c:v>
                </c:pt>
                <c:pt idx="40">
                  <c:v>0.86699999999999999</c:v>
                </c:pt>
                <c:pt idx="41">
                  <c:v>0.49</c:v>
                </c:pt>
                <c:pt idx="42">
                  <c:v>0.34799999999999998</c:v>
                </c:pt>
                <c:pt idx="43">
                  <c:v>0.41099999999999998</c:v>
                </c:pt>
                <c:pt idx="44">
                  <c:v>0.54</c:v>
                </c:pt>
                <c:pt idx="45">
                  <c:v>1.2629999999999999</c:v>
                </c:pt>
                <c:pt idx="46">
                  <c:v>0.52</c:v>
                </c:pt>
                <c:pt idx="47">
                  <c:v>0.46899999999999997</c:v>
                </c:pt>
                <c:pt idx="48">
                  <c:v>0.11</c:v>
                </c:pt>
                <c:pt idx="49">
                  <c:v>0.55700000000000005</c:v>
                </c:pt>
                <c:pt idx="50">
                  <c:v>0.63700000000000001</c:v>
                </c:pt>
                <c:pt idx="51">
                  <c:v>0.53700000000000003</c:v>
                </c:pt>
                <c:pt idx="52">
                  <c:v>0.91300000000000003</c:v>
                </c:pt>
                <c:pt idx="53">
                  <c:v>0.83399999999999996</c:v>
                </c:pt>
                <c:pt idx="54">
                  <c:v>0.73599999999999999</c:v>
                </c:pt>
                <c:pt idx="55">
                  <c:v>1.248</c:v>
                </c:pt>
                <c:pt idx="56">
                  <c:v>0.53600000000000003</c:v>
                </c:pt>
                <c:pt idx="57">
                  <c:v>1.548</c:v>
                </c:pt>
                <c:pt idx="58">
                  <c:v>0.432</c:v>
                </c:pt>
                <c:pt idx="59">
                  <c:v>0.56699999999999995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C8-42FF-871A-74C9FD22C9C8}"/>
            </c:ext>
          </c:extLst>
        </c:ser>
        <c:ser>
          <c:idx val="2"/>
          <c:order val="2"/>
          <c:tx>
            <c:strRef>
              <c:f>'keystroke specific'!$AL$70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specific'!$AL$71:$AL$130</c:f>
              <c:numCache>
                <c:formatCode>General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C8-42FF-871A-74C9FD22C9C8}"/>
            </c:ext>
          </c:extLst>
        </c:ser>
        <c:ser>
          <c:idx val="3"/>
          <c:order val="3"/>
          <c:tx>
            <c:strRef>
              <c:f>'keystroke specific'!$AM$70</c:f>
              <c:strCache>
                <c:ptCount val="1"/>
                <c:pt idx="0">
                  <c:v>Genuine 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FFFF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specific'!$AM$71:$AM$130</c:f>
              <c:numCache>
                <c:formatCode>General</c:formatCode>
                <c:ptCount val="60"/>
                <c:pt idx="0">
                  <c:v>0.32200000000000001</c:v>
                </c:pt>
                <c:pt idx="1">
                  <c:v>0.20599999999999999</c:v>
                </c:pt>
                <c:pt idx="2">
                  <c:v>0.50700000000000001</c:v>
                </c:pt>
                <c:pt idx="3">
                  <c:v>0.36699999999999999</c:v>
                </c:pt>
                <c:pt idx="4">
                  <c:v>0.38200000000000001</c:v>
                </c:pt>
                <c:pt idx="5">
                  <c:v>0.308</c:v>
                </c:pt>
                <c:pt idx="6">
                  <c:v>0.42</c:v>
                </c:pt>
                <c:pt idx="7">
                  <c:v>0.314</c:v>
                </c:pt>
                <c:pt idx="8">
                  <c:v>0.33400000000000002</c:v>
                </c:pt>
                <c:pt idx="9">
                  <c:v>0.23400000000000001</c:v>
                </c:pt>
                <c:pt idx="10">
                  <c:v>0.20799999999999999</c:v>
                </c:pt>
                <c:pt idx="11">
                  <c:v>0.157</c:v>
                </c:pt>
                <c:pt idx="12">
                  <c:v>0.30499999999999999</c:v>
                </c:pt>
                <c:pt idx="13">
                  <c:v>0.23</c:v>
                </c:pt>
                <c:pt idx="14">
                  <c:v>0.438</c:v>
                </c:pt>
                <c:pt idx="15">
                  <c:v>0.34899999999999998</c:v>
                </c:pt>
                <c:pt idx="16">
                  <c:v>0.188</c:v>
                </c:pt>
                <c:pt idx="17">
                  <c:v>0.20200000000000001</c:v>
                </c:pt>
                <c:pt idx="18">
                  <c:v>0.42499999999999999</c:v>
                </c:pt>
                <c:pt idx="19">
                  <c:v>0.41</c:v>
                </c:pt>
                <c:pt idx="20">
                  <c:v>7.0999999999999994E-2</c:v>
                </c:pt>
                <c:pt idx="21">
                  <c:v>0.14000000000000001</c:v>
                </c:pt>
                <c:pt idx="22">
                  <c:v>0.14599999999999999</c:v>
                </c:pt>
                <c:pt idx="23">
                  <c:v>0.27600000000000002</c:v>
                </c:pt>
                <c:pt idx="24">
                  <c:v>0.27900000000000003</c:v>
                </c:pt>
                <c:pt idx="25">
                  <c:v>0.40400000000000003</c:v>
                </c:pt>
                <c:pt idx="26">
                  <c:v>9.6000000000000002E-2</c:v>
                </c:pt>
                <c:pt idx="27">
                  <c:v>1.341</c:v>
                </c:pt>
                <c:pt idx="28">
                  <c:v>0.89500000000000002</c:v>
                </c:pt>
                <c:pt idx="29">
                  <c:v>0.83699999999999997</c:v>
                </c:pt>
                <c:pt idx="30">
                  <c:v>0.33700000000000002</c:v>
                </c:pt>
                <c:pt idx="31">
                  <c:v>7.2999999999999995E-2</c:v>
                </c:pt>
                <c:pt idx="32">
                  <c:v>0.42199999999999999</c:v>
                </c:pt>
                <c:pt idx="33">
                  <c:v>0.39100000000000001</c:v>
                </c:pt>
                <c:pt idx="34">
                  <c:v>0.38500000000000001</c:v>
                </c:pt>
                <c:pt idx="35">
                  <c:v>0.29499999999999998</c:v>
                </c:pt>
                <c:pt idx="36">
                  <c:v>0.28999999999999998</c:v>
                </c:pt>
                <c:pt idx="37">
                  <c:v>35.81</c:v>
                </c:pt>
                <c:pt idx="38">
                  <c:v>0.22500000000000001</c:v>
                </c:pt>
                <c:pt idx="39">
                  <c:v>0.57399999999999995</c:v>
                </c:pt>
                <c:pt idx="40">
                  <c:v>0.21099999999999999</c:v>
                </c:pt>
                <c:pt idx="41">
                  <c:v>0.40200000000000002</c:v>
                </c:pt>
                <c:pt idx="42">
                  <c:v>0.48299999999999998</c:v>
                </c:pt>
                <c:pt idx="43">
                  <c:v>0.26300000000000001</c:v>
                </c:pt>
                <c:pt idx="44">
                  <c:v>0.41199999999999998</c:v>
                </c:pt>
                <c:pt idx="45">
                  <c:v>0.21199999999999999</c:v>
                </c:pt>
                <c:pt idx="46">
                  <c:v>0.23100000000000001</c:v>
                </c:pt>
                <c:pt idx="47">
                  <c:v>0.72299999999999998</c:v>
                </c:pt>
                <c:pt idx="48">
                  <c:v>0.72299999999999998</c:v>
                </c:pt>
                <c:pt idx="49">
                  <c:v>0.37</c:v>
                </c:pt>
                <c:pt idx="50">
                  <c:v>0.379</c:v>
                </c:pt>
                <c:pt idx="51">
                  <c:v>0.34200000000000003</c:v>
                </c:pt>
                <c:pt idx="52">
                  <c:v>9.1999999999999998E-2</c:v>
                </c:pt>
                <c:pt idx="53">
                  <c:v>0.218</c:v>
                </c:pt>
                <c:pt idx="54">
                  <c:v>0.379</c:v>
                </c:pt>
                <c:pt idx="55">
                  <c:v>0.33800000000000002</c:v>
                </c:pt>
                <c:pt idx="56">
                  <c:v>9.1999999999999998E-2</c:v>
                </c:pt>
                <c:pt idx="57">
                  <c:v>0.247</c:v>
                </c:pt>
                <c:pt idx="58">
                  <c:v>0.16900000000000001</c:v>
                </c:pt>
                <c:pt idx="59">
                  <c:v>0.28599999999999998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C8-42FF-871A-74C9FD22C9C8}"/>
            </c:ext>
          </c:extLst>
        </c:ser>
        <c:ser>
          <c:idx val="4"/>
          <c:order val="4"/>
          <c:tx>
            <c:strRef>
              <c:f>'keystroke specific'!$AN$70</c:f>
              <c:strCache>
                <c:ptCount val="1"/>
                <c:pt idx="0">
                  <c:v>Impostor 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specific'!$AN$71:$AN$130</c:f>
              <c:numCache>
                <c:formatCode>General</c:formatCode>
                <c:ptCount val="60"/>
                <c:pt idx="0">
                  <c:v>0.191</c:v>
                </c:pt>
                <c:pt idx="1">
                  <c:v>12.323</c:v>
                </c:pt>
                <c:pt idx="2">
                  <c:v>0.90500000000000003</c:v>
                </c:pt>
                <c:pt idx="3">
                  <c:v>1.1379999999999999</c:v>
                </c:pt>
                <c:pt idx="4">
                  <c:v>1.712</c:v>
                </c:pt>
                <c:pt idx="5">
                  <c:v>0.23799999999999999</c:v>
                </c:pt>
                <c:pt idx="6">
                  <c:v>0.63800000000000001</c:v>
                </c:pt>
                <c:pt idx="7">
                  <c:v>2.1579999999999999</c:v>
                </c:pt>
                <c:pt idx="8">
                  <c:v>1.113</c:v>
                </c:pt>
                <c:pt idx="9">
                  <c:v>1.5469999999999999</c:v>
                </c:pt>
                <c:pt idx="10">
                  <c:v>3.0489999999999999</c:v>
                </c:pt>
                <c:pt idx="11">
                  <c:v>1.2170000000000001</c:v>
                </c:pt>
                <c:pt idx="12">
                  <c:v>3.3740000000000001</c:v>
                </c:pt>
                <c:pt idx="13">
                  <c:v>0.377</c:v>
                </c:pt>
                <c:pt idx="14">
                  <c:v>1.294</c:v>
                </c:pt>
                <c:pt idx="15">
                  <c:v>1.212</c:v>
                </c:pt>
                <c:pt idx="16">
                  <c:v>1.262</c:v>
                </c:pt>
                <c:pt idx="17">
                  <c:v>2.0489999999999999</c:v>
                </c:pt>
                <c:pt idx="18">
                  <c:v>1.5169999999999999</c:v>
                </c:pt>
                <c:pt idx="19">
                  <c:v>3.3740000000000001</c:v>
                </c:pt>
                <c:pt idx="20">
                  <c:v>1.0880000000000001</c:v>
                </c:pt>
                <c:pt idx="21">
                  <c:v>0.79600000000000004</c:v>
                </c:pt>
                <c:pt idx="22">
                  <c:v>0.83799999999999997</c:v>
                </c:pt>
                <c:pt idx="23">
                  <c:v>1.0880000000000001</c:v>
                </c:pt>
                <c:pt idx="24">
                  <c:v>0.79600000000000004</c:v>
                </c:pt>
                <c:pt idx="25">
                  <c:v>1.4410000000000001</c:v>
                </c:pt>
                <c:pt idx="26">
                  <c:v>1.2170000000000001</c:v>
                </c:pt>
                <c:pt idx="27">
                  <c:v>0.79600000000000004</c:v>
                </c:pt>
                <c:pt idx="28">
                  <c:v>1.4410000000000001</c:v>
                </c:pt>
                <c:pt idx="29">
                  <c:v>1.2170000000000001</c:v>
                </c:pt>
                <c:pt idx="30">
                  <c:v>0.63100000000000001</c:v>
                </c:pt>
                <c:pt idx="31">
                  <c:v>6.0709999999999997</c:v>
                </c:pt>
                <c:pt idx="32">
                  <c:v>0.65100000000000002</c:v>
                </c:pt>
                <c:pt idx="33">
                  <c:v>1.091</c:v>
                </c:pt>
                <c:pt idx="34">
                  <c:v>1.157</c:v>
                </c:pt>
                <c:pt idx="35">
                  <c:v>0.77</c:v>
                </c:pt>
                <c:pt idx="36">
                  <c:v>1.111</c:v>
                </c:pt>
                <c:pt idx="37">
                  <c:v>0.41499999999999998</c:v>
                </c:pt>
                <c:pt idx="38">
                  <c:v>0.67100000000000004</c:v>
                </c:pt>
                <c:pt idx="39">
                  <c:v>0.71699999999999997</c:v>
                </c:pt>
                <c:pt idx="40">
                  <c:v>2.2160000000000002</c:v>
                </c:pt>
                <c:pt idx="41">
                  <c:v>0.53</c:v>
                </c:pt>
                <c:pt idx="42">
                  <c:v>0.76100000000000001</c:v>
                </c:pt>
                <c:pt idx="43">
                  <c:v>0.55200000000000005</c:v>
                </c:pt>
                <c:pt idx="44">
                  <c:v>0.68799999999999994</c:v>
                </c:pt>
                <c:pt idx="45">
                  <c:v>3.51</c:v>
                </c:pt>
                <c:pt idx="46">
                  <c:v>0.629</c:v>
                </c:pt>
                <c:pt idx="47">
                  <c:v>0.56399999999999995</c:v>
                </c:pt>
                <c:pt idx="48">
                  <c:v>0.4</c:v>
                </c:pt>
                <c:pt idx="49">
                  <c:v>0.59699999999999998</c:v>
                </c:pt>
                <c:pt idx="50">
                  <c:v>1.9490000000000001</c:v>
                </c:pt>
                <c:pt idx="51">
                  <c:v>1.7490000000000001</c:v>
                </c:pt>
                <c:pt idx="52">
                  <c:v>3.33</c:v>
                </c:pt>
                <c:pt idx="53">
                  <c:v>2.4319999999999999</c:v>
                </c:pt>
                <c:pt idx="54">
                  <c:v>2.335</c:v>
                </c:pt>
                <c:pt idx="55">
                  <c:v>4.5839999999999996</c:v>
                </c:pt>
                <c:pt idx="56">
                  <c:v>1.488</c:v>
                </c:pt>
                <c:pt idx="57">
                  <c:v>1.629</c:v>
                </c:pt>
                <c:pt idx="58">
                  <c:v>1.625</c:v>
                </c:pt>
                <c:pt idx="59">
                  <c:v>1.7410000000000001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C8-42FF-871A-74C9FD22C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039791"/>
        <c:axId val="1568036911"/>
      </c:scatterChart>
      <c:valAx>
        <c:axId val="156803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Z-Score Threshold Scale</a:t>
                </a:r>
              </a:p>
            </c:rich>
          </c:tx>
          <c:layout>
            <c:manualLayout>
              <c:xMode val="edge"/>
              <c:yMode val="edge"/>
              <c:x val="0.45614428146777758"/>
              <c:y val="0.91924306182566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36911"/>
        <c:crosses val="autoZero"/>
        <c:crossBetween val="midCat"/>
        <c:majorUnit val="5.000000000000001E-2"/>
      </c:valAx>
      <c:valAx>
        <c:axId val="15680369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Z-Score Average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39791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FRR/FAR Curve</a:t>
            </a:r>
            <a:r>
              <a:rPr lang="en-GB" sz="2000" baseline="0"/>
              <a:t> using avg-z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'keystroke specific'!$P$4</c:f>
              <c:strCache>
                <c:ptCount val="1"/>
                <c:pt idx="0">
                  <c:v>FRR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'keystroke specific'!$O$5:$O$64</c:f>
              <c:numCache>
                <c:formatCode>0.000</c:formatCode>
                <c:ptCount val="60"/>
                <c:pt idx="0">
                  <c:v>1.3333333333333334E-2</c:v>
                </c:pt>
                <c:pt idx="1">
                  <c:v>2.3333333333333334E-2</c:v>
                </c:pt>
                <c:pt idx="2">
                  <c:v>3.6333333333333336E-2</c:v>
                </c:pt>
                <c:pt idx="3">
                  <c:v>4.9333333333333333E-2</c:v>
                </c:pt>
                <c:pt idx="4">
                  <c:v>6.2333333333333331E-2</c:v>
                </c:pt>
                <c:pt idx="5">
                  <c:v>7.5333333333333335E-2</c:v>
                </c:pt>
                <c:pt idx="6">
                  <c:v>8.8333333333333333E-2</c:v>
                </c:pt>
                <c:pt idx="7">
                  <c:v>0.10133333333333333</c:v>
                </c:pt>
                <c:pt idx="8">
                  <c:v>0.11433333333333333</c:v>
                </c:pt>
                <c:pt idx="9">
                  <c:v>0.12733333333333333</c:v>
                </c:pt>
                <c:pt idx="10">
                  <c:v>0.14033333333333334</c:v>
                </c:pt>
                <c:pt idx="11">
                  <c:v>0.15333333333333335</c:v>
                </c:pt>
                <c:pt idx="12">
                  <c:v>0.16633333333333336</c:v>
                </c:pt>
                <c:pt idx="13">
                  <c:v>0.17933333333333337</c:v>
                </c:pt>
                <c:pt idx="14">
                  <c:v>0.19233333333333338</c:v>
                </c:pt>
                <c:pt idx="15">
                  <c:v>0.2053333333333334</c:v>
                </c:pt>
                <c:pt idx="16">
                  <c:v>0.21833333333333341</c:v>
                </c:pt>
                <c:pt idx="17">
                  <c:v>0.23133333333333342</c:v>
                </c:pt>
                <c:pt idx="18">
                  <c:v>0.24433333333333343</c:v>
                </c:pt>
                <c:pt idx="19">
                  <c:v>0.25733333333333341</c:v>
                </c:pt>
                <c:pt idx="20">
                  <c:v>0.27033333333333343</c:v>
                </c:pt>
                <c:pt idx="21">
                  <c:v>0.28333333333333344</c:v>
                </c:pt>
                <c:pt idx="22">
                  <c:v>0.29633333333333345</c:v>
                </c:pt>
                <c:pt idx="23">
                  <c:v>0.30933333333333346</c:v>
                </c:pt>
                <c:pt idx="24">
                  <c:v>0.32233333333333347</c:v>
                </c:pt>
                <c:pt idx="25">
                  <c:v>0.33533333333333348</c:v>
                </c:pt>
                <c:pt idx="26">
                  <c:v>0.34833333333333349</c:v>
                </c:pt>
                <c:pt idx="27">
                  <c:v>0.36133333333333351</c:v>
                </c:pt>
                <c:pt idx="28">
                  <c:v>0.37433333333333352</c:v>
                </c:pt>
                <c:pt idx="29">
                  <c:v>0.38733333333333353</c:v>
                </c:pt>
                <c:pt idx="30">
                  <c:v>0.40033333333333354</c:v>
                </c:pt>
                <c:pt idx="31">
                  <c:v>0.41333333333333355</c:v>
                </c:pt>
                <c:pt idx="32">
                  <c:v>0.42633333333333356</c:v>
                </c:pt>
                <c:pt idx="33">
                  <c:v>0.43933333333333358</c:v>
                </c:pt>
                <c:pt idx="34">
                  <c:v>0.45233333333333359</c:v>
                </c:pt>
                <c:pt idx="35">
                  <c:v>0.4653333333333336</c:v>
                </c:pt>
                <c:pt idx="36">
                  <c:v>0.47833333333333361</c:v>
                </c:pt>
                <c:pt idx="37">
                  <c:v>0.49133333333333362</c:v>
                </c:pt>
                <c:pt idx="38">
                  <c:v>0.50433333333333363</c:v>
                </c:pt>
                <c:pt idx="39">
                  <c:v>0.51733333333333364</c:v>
                </c:pt>
                <c:pt idx="40">
                  <c:v>0.53033333333333366</c:v>
                </c:pt>
                <c:pt idx="41">
                  <c:v>0.54333333333333367</c:v>
                </c:pt>
                <c:pt idx="42">
                  <c:v>0.55633333333333368</c:v>
                </c:pt>
                <c:pt idx="43">
                  <c:v>0.56933333333333369</c:v>
                </c:pt>
                <c:pt idx="44">
                  <c:v>0.5823333333333337</c:v>
                </c:pt>
                <c:pt idx="45">
                  <c:v>0.59533333333333371</c:v>
                </c:pt>
                <c:pt idx="46">
                  <c:v>0.60833333333333373</c:v>
                </c:pt>
                <c:pt idx="47">
                  <c:v>0.62133333333333374</c:v>
                </c:pt>
                <c:pt idx="48">
                  <c:v>0.63433333333333375</c:v>
                </c:pt>
                <c:pt idx="49">
                  <c:v>0.64733333333333376</c:v>
                </c:pt>
                <c:pt idx="50">
                  <c:v>0.66033333333333377</c:v>
                </c:pt>
                <c:pt idx="51">
                  <c:v>0.67333333333333378</c:v>
                </c:pt>
                <c:pt idx="52">
                  <c:v>0.68633333333333379</c:v>
                </c:pt>
                <c:pt idx="53">
                  <c:v>0.69933333333333381</c:v>
                </c:pt>
                <c:pt idx="54">
                  <c:v>0.71233333333333382</c:v>
                </c:pt>
                <c:pt idx="55">
                  <c:v>0.72533333333333383</c:v>
                </c:pt>
                <c:pt idx="56">
                  <c:v>0.73833333333333384</c:v>
                </c:pt>
                <c:pt idx="57">
                  <c:v>0.75133333333333385</c:v>
                </c:pt>
                <c:pt idx="58">
                  <c:v>0.76433333333333386</c:v>
                </c:pt>
                <c:pt idx="59">
                  <c:v>0.77733333333333388</c:v>
                </c:pt>
              </c:numCache>
            </c:numRef>
          </c:cat>
          <c:val>
            <c:numRef>
              <c:f>'keystroke specific'!$P$5:$P$64</c:f>
              <c:numCache>
                <c:formatCode>0.00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0.98333333333333328</c:v>
                </c:pt>
                <c:pt idx="3">
                  <c:v>0.95</c:v>
                </c:pt>
                <c:pt idx="4">
                  <c:v>0.95</c:v>
                </c:pt>
                <c:pt idx="5">
                  <c:v>0.9</c:v>
                </c:pt>
                <c:pt idx="6">
                  <c:v>0.85</c:v>
                </c:pt>
                <c:pt idx="7">
                  <c:v>0.83333333333333337</c:v>
                </c:pt>
                <c:pt idx="8">
                  <c:v>0.81666666666666665</c:v>
                </c:pt>
                <c:pt idx="9">
                  <c:v>0.8</c:v>
                </c:pt>
                <c:pt idx="10">
                  <c:v>0.7</c:v>
                </c:pt>
                <c:pt idx="11">
                  <c:v>0.6333333333333333</c:v>
                </c:pt>
                <c:pt idx="12">
                  <c:v>0.56666666666666665</c:v>
                </c:pt>
                <c:pt idx="13">
                  <c:v>0.51666666666666672</c:v>
                </c:pt>
                <c:pt idx="14">
                  <c:v>0.5</c:v>
                </c:pt>
                <c:pt idx="15">
                  <c:v>0.48333333333333334</c:v>
                </c:pt>
                <c:pt idx="16">
                  <c:v>0.48333333333333334</c:v>
                </c:pt>
                <c:pt idx="17">
                  <c:v>0.41666666666666669</c:v>
                </c:pt>
                <c:pt idx="18">
                  <c:v>0.38333333333333336</c:v>
                </c:pt>
                <c:pt idx="19">
                  <c:v>0.31666666666666665</c:v>
                </c:pt>
                <c:pt idx="20">
                  <c:v>0.26666666666666666</c:v>
                </c:pt>
                <c:pt idx="21">
                  <c:v>0.25</c:v>
                </c:pt>
                <c:pt idx="22">
                  <c:v>0.2</c:v>
                </c:pt>
                <c:pt idx="23">
                  <c:v>0.16666666666666666</c:v>
                </c:pt>
                <c:pt idx="24">
                  <c:v>0.13333333333333333</c:v>
                </c:pt>
                <c:pt idx="25">
                  <c:v>0.13333333333333333</c:v>
                </c:pt>
                <c:pt idx="26">
                  <c:v>0.11666666666666667</c:v>
                </c:pt>
                <c:pt idx="27">
                  <c:v>8.3333333333333329E-2</c:v>
                </c:pt>
                <c:pt idx="28">
                  <c:v>6.6666666666666666E-2</c:v>
                </c:pt>
                <c:pt idx="29">
                  <c:v>6.6666666666666666E-2</c:v>
                </c:pt>
                <c:pt idx="30">
                  <c:v>6.6666666666666666E-2</c:v>
                </c:pt>
                <c:pt idx="31">
                  <c:v>6.6666666666666666E-2</c:v>
                </c:pt>
                <c:pt idx="32">
                  <c:v>6.6666666666666666E-2</c:v>
                </c:pt>
                <c:pt idx="33">
                  <c:v>6.6666666666666666E-2</c:v>
                </c:pt>
                <c:pt idx="34">
                  <c:v>6.6666666666666666E-2</c:v>
                </c:pt>
                <c:pt idx="35">
                  <c:v>6.6666666666666666E-2</c:v>
                </c:pt>
                <c:pt idx="36">
                  <c:v>6.6666666666666666E-2</c:v>
                </c:pt>
                <c:pt idx="37">
                  <c:v>6.6666666666666666E-2</c:v>
                </c:pt>
                <c:pt idx="38">
                  <c:v>6.6666666666666666E-2</c:v>
                </c:pt>
                <c:pt idx="39">
                  <c:v>6.6666666666666666E-2</c:v>
                </c:pt>
                <c:pt idx="40">
                  <c:v>6.6666666666666666E-2</c:v>
                </c:pt>
                <c:pt idx="41">
                  <c:v>6.6666666666666666E-2</c:v>
                </c:pt>
                <c:pt idx="42">
                  <c:v>6.6666666666666666E-2</c:v>
                </c:pt>
                <c:pt idx="43">
                  <c:v>6.6666666666666666E-2</c:v>
                </c:pt>
                <c:pt idx="44">
                  <c:v>6.6666666666666666E-2</c:v>
                </c:pt>
                <c:pt idx="45">
                  <c:v>6.6666666666666666E-2</c:v>
                </c:pt>
                <c:pt idx="46">
                  <c:v>6.6666666666666666E-2</c:v>
                </c:pt>
                <c:pt idx="47">
                  <c:v>0.05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3.3333333333333333E-2</c:v>
                </c:pt>
                <c:pt idx="53">
                  <c:v>3.3333333333333333E-2</c:v>
                </c:pt>
                <c:pt idx="54">
                  <c:v>3.3333333333333333E-2</c:v>
                </c:pt>
                <c:pt idx="55">
                  <c:v>3.3333333333333333E-2</c:v>
                </c:pt>
                <c:pt idx="56">
                  <c:v>3.3333333333333333E-2</c:v>
                </c:pt>
                <c:pt idx="57">
                  <c:v>3.3333333333333333E-2</c:v>
                </c:pt>
                <c:pt idx="58">
                  <c:v>3.3333333333333333E-2</c:v>
                </c:pt>
                <c:pt idx="59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7-4177-AE8C-E3FADBE65AF5}"/>
            </c:ext>
          </c:extLst>
        </c:ser>
        <c:ser>
          <c:idx val="1"/>
          <c:order val="1"/>
          <c:tx>
            <c:strRef>
              <c:f>'keystroke specific'!$Q$4</c:f>
              <c:strCache>
                <c:ptCount val="1"/>
                <c:pt idx="0">
                  <c:v>FAR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'keystroke specific'!$O$5:$O$64</c:f>
              <c:numCache>
                <c:formatCode>0.000</c:formatCode>
                <c:ptCount val="60"/>
                <c:pt idx="0">
                  <c:v>1.3333333333333334E-2</c:v>
                </c:pt>
                <c:pt idx="1">
                  <c:v>2.3333333333333334E-2</c:v>
                </c:pt>
                <c:pt idx="2">
                  <c:v>3.6333333333333336E-2</c:v>
                </c:pt>
                <c:pt idx="3">
                  <c:v>4.9333333333333333E-2</c:v>
                </c:pt>
                <c:pt idx="4">
                  <c:v>6.2333333333333331E-2</c:v>
                </c:pt>
                <c:pt idx="5">
                  <c:v>7.5333333333333335E-2</c:v>
                </c:pt>
                <c:pt idx="6">
                  <c:v>8.8333333333333333E-2</c:v>
                </c:pt>
                <c:pt idx="7">
                  <c:v>0.10133333333333333</c:v>
                </c:pt>
                <c:pt idx="8">
                  <c:v>0.11433333333333333</c:v>
                </c:pt>
                <c:pt idx="9">
                  <c:v>0.12733333333333333</c:v>
                </c:pt>
                <c:pt idx="10">
                  <c:v>0.14033333333333334</c:v>
                </c:pt>
                <c:pt idx="11">
                  <c:v>0.15333333333333335</c:v>
                </c:pt>
                <c:pt idx="12">
                  <c:v>0.16633333333333336</c:v>
                </c:pt>
                <c:pt idx="13">
                  <c:v>0.17933333333333337</c:v>
                </c:pt>
                <c:pt idx="14">
                  <c:v>0.19233333333333338</c:v>
                </c:pt>
                <c:pt idx="15">
                  <c:v>0.2053333333333334</c:v>
                </c:pt>
                <c:pt idx="16">
                  <c:v>0.21833333333333341</c:v>
                </c:pt>
                <c:pt idx="17">
                  <c:v>0.23133333333333342</c:v>
                </c:pt>
                <c:pt idx="18">
                  <c:v>0.24433333333333343</c:v>
                </c:pt>
                <c:pt idx="19">
                  <c:v>0.25733333333333341</c:v>
                </c:pt>
                <c:pt idx="20">
                  <c:v>0.27033333333333343</c:v>
                </c:pt>
                <c:pt idx="21">
                  <c:v>0.28333333333333344</c:v>
                </c:pt>
                <c:pt idx="22">
                  <c:v>0.29633333333333345</c:v>
                </c:pt>
                <c:pt idx="23">
                  <c:v>0.30933333333333346</c:v>
                </c:pt>
                <c:pt idx="24">
                  <c:v>0.32233333333333347</c:v>
                </c:pt>
                <c:pt idx="25">
                  <c:v>0.33533333333333348</c:v>
                </c:pt>
                <c:pt idx="26">
                  <c:v>0.34833333333333349</c:v>
                </c:pt>
                <c:pt idx="27">
                  <c:v>0.36133333333333351</c:v>
                </c:pt>
                <c:pt idx="28">
                  <c:v>0.37433333333333352</c:v>
                </c:pt>
                <c:pt idx="29">
                  <c:v>0.38733333333333353</c:v>
                </c:pt>
                <c:pt idx="30">
                  <c:v>0.40033333333333354</c:v>
                </c:pt>
                <c:pt idx="31">
                  <c:v>0.41333333333333355</c:v>
                </c:pt>
                <c:pt idx="32">
                  <c:v>0.42633333333333356</c:v>
                </c:pt>
                <c:pt idx="33">
                  <c:v>0.43933333333333358</c:v>
                </c:pt>
                <c:pt idx="34">
                  <c:v>0.45233333333333359</c:v>
                </c:pt>
                <c:pt idx="35">
                  <c:v>0.4653333333333336</c:v>
                </c:pt>
                <c:pt idx="36">
                  <c:v>0.47833333333333361</c:v>
                </c:pt>
                <c:pt idx="37">
                  <c:v>0.49133333333333362</c:v>
                </c:pt>
                <c:pt idx="38">
                  <c:v>0.50433333333333363</c:v>
                </c:pt>
                <c:pt idx="39">
                  <c:v>0.51733333333333364</c:v>
                </c:pt>
                <c:pt idx="40">
                  <c:v>0.53033333333333366</c:v>
                </c:pt>
                <c:pt idx="41">
                  <c:v>0.54333333333333367</c:v>
                </c:pt>
                <c:pt idx="42">
                  <c:v>0.55633333333333368</c:v>
                </c:pt>
                <c:pt idx="43">
                  <c:v>0.56933333333333369</c:v>
                </c:pt>
                <c:pt idx="44">
                  <c:v>0.5823333333333337</c:v>
                </c:pt>
                <c:pt idx="45">
                  <c:v>0.59533333333333371</c:v>
                </c:pt>
                <c:pt idx="46">
                  <c:v>0.60833333333333373</c:v>
                </c:pt>
                <c:pt idx="47">
                  <c:v>0.62133333333333374</c:v>
                </c:pt>
                <c:pt idx="48">
                  <c:v>0.63433333333333375</c:v>
                </c:pt>
                <c:pt idx="49">
                  <c:v>0.64733333333333376</c:v>
                </c:pt>
                <c:pt idx="50">
                  <c:v>0.66033333333333377</c:v>
                </c:pt>
                <c:pt idx="51">
                  <c:v>0.67333333333333378</c:v>
                </c:pt>
                <c:pt idx="52">
                  <c:v>0.68633333333333379</c:v>
                </c:pt>
                <c:pt idx="53">
                  <c:v>0.69933333333333381</c:v>
                </c:pt>
                <c:pt idx="54">
                  <c:v>0.71233333333333382</c:v>
                </c:pt>
                <c:pt idx="55">
                  <c:v>0.72533333333333383</c:v>
                </c:pt>
                <c:pt idx="56">
                  <c:v>0.73833333333333384</c:v>
                </c:pt>
                <c:pt idx="57">
                  <c:v>0.75133333333333385</c:v>
                </c:pt>
                <c:pt idx="58">
                  <c:v>0.76433333333333386</c:v>
                </c:pt>
                <c:pt idx="59">
                  <c:v>0.77733333333333388</c:v>
                </c:pt>
              </c:numCache>
            </c:numRef>
          </c:cat>
          <c:val>
            <c:numRef>
              <c:f>'keystroke specific'!$Q$5:$Q$64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1.6666666666666666E-2</c:v>
                </c:pt>
                <c:pt idx="9">
                  <c:v>1.6666666666666666E-2</c:v>
                </c:pt>
                <c:pt idx="10">
                  <c:v>3.3333333333333333E-2</c:v>
                </c:pt>
                <c:pt idx="11">
                  <c:v>3.3333333333333333E-2</c:v>
                </c:pt>
                <c:pt idx="12">
                  <c:v>3.3333333333333333E-2</c:v>
                </c:pt>
                <c:pt idx="13">
                  <c:v>6.6666666666666666E-2</c:v>
                </c:pt>
                <c:pt idx="14">
                  <c:v>6.6666666666666666E-2</c:v>
                </c:pt>
                <c:pt idx="15">
                  <c:v>6.6666666666666666E-2</c:v>
                </c:pt>
                <c:pt idx="16">
                  <c:v>6.6666666666666666E-2</c:v>
                </c:pt>
                <c:pt idx="17">
                  <c:v>6.6666666666666666E-2</c:v>
                </c:pt>
                <c:pt idx="18">
                  <c:v>6.6666666666666666E-2</c:v>
                </c:pt>
                <c:pt idx="19">
                  <c:v>6.6666666666666666E-2</c:v>
                </c:pt>
                <c:pt idx="20">
                  <c:v>6.6666666666666666E-2</c:v>
                </c:pt>
                <c:pt idx="21">
                  <c:v>6.6666666666666666E-2</c:v>
                </c:pt>
                <c:pt idx="22">
                  <c:v>6.6666666666666666E-2</c:v>
                </c:pt>
                <c:pt idx="23">
                  <c:v>6.6666666666666666E-2</c:v>
                </c:pt>
                <c:pt idx="24">
                  <c:v>6.6666666666666666E-2</c:v>
                </c:pt>
                <c:pt idx="25">
                  <c:v>6.6666666666666666E-2</c:v>
                </c:pt>
                <c:pt idx="26">
                  <c:v>8.3333333333333329E-2</c:v>
                </c:pt>
                <c:pt idx="27">
                  <c:v>8.3333333333333329E-2</c:v>
                </c:pt>
                <c:pt idx="28">
                  <c:v>8.3333333333333329E-2</c:v>
                </c:pt>
                <c:pt idx="29">
                  <c:v>0.1</c:v>
                </c:pt>
                <c:pt idx="30">
                  <c:v>0.1</c:v>
                </c:pt>
                <c:pt idx="31">
                  <c:v>0.11666666666666667</c:v>
                </c:pt>
                <c:pt idx="32">
                  <c:v>0.11666666666666667</c:v>
                </c:pt>
                <c:pt idx="33">
                  <c:v>0.15</c:v>
                </c:pt>
                <c:pt idx="34">
                  <c:v>0.15</c:v>
                </c:pt>
                <c:pt idx="35">
                  <c:v>0.2</c:v>
                </c:pt>
                <c:pt idx="36">
                  <c:v>0.23333333333333334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0.28333333333333333</c:v>
                </c:pt>
                <c:pt idx="41">
                  <c:v>0.33333333333333331</c:v>
                </c:pt>
                <c:pt idx="42">
                  <c:v>0.36666666666666664</c:v>
                </c:pt>
                <c:pt idx="43">
                  <c:v>0.41666666666666669</c:v>
                </c:pt>
                <c:pt idx="44">
                  <c:v>0.41666666666666669</c:v>
                </c:pt>
                <c:pt idx="45">
                  <c:v>0.46666666666666667</c:v>
                </c:pt>
                <c:pt idx="46">
                  <c:v>0.48333333333333334</c:v>
                </c:pt>
                <c:pt idx="47">
                  <c:v>0.48333333333333334</c:v>
                </c:pt>
                <c:pt idx="48">
                  <c:v>0.5</c:v>
                </c:pt>
                <c:pt idx="49">
                  <c:v>0.53333333333333333</c:v>
                </c:pt>
                <c:pt idx="50">
                  <c:v>0.53333333333333333</c:v>
                </c:pt>
                <c:pt idx="51">
                  <c:v>0.53333333333333333</c:v>
                </c:pt>
                <c:pt idx="52">
                  <c:v>0.53333333333333333</c:v>
                </c:pt>
                <c:pt idx="53">
                  <c:v>0.53333333333333333</c:v>
                </c:pt>
                <c:pt idx="54">
                  <c:v>0.53333333333333333</c:v>
                </c:pt>
                <c:pt idx="55">
                  <c:v>0.53333333333333333</c:v>
                </c:pt>
                <c:pt idx="56">
                  <c:v>0.55000000000000004</c:v>
                </c:pt>
                <c:pt idx="57">
                  <c:v>0.55000000000000004</c:v>
                </c:pt>
                <c:pt idx="58">
                  <c:v>0.56666666666666665</c:v>
                </c:pt>
                <c:pt idx="59">
                  <c:v>0.56666666666666665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07-4177-AE8C-E3FADBE65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161423"/>
        <c:axId val="2030158063"/>
      </c:lineChart>
      <c:catAx>
        <c:axId val="2030161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Threshold</a:t>
                </a:r>
                <a:r>
                  <a:rPr lang="en-GB" sz="1800" baseline="0"/>
                  <a:t> Value</a:t>
                </a:r>
                <a:endParaRPr lang="en-GB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158063"/>
        <c:crosses val="autoZero"/>
        <c:auto val="1"/>
        <c:lblAlgn val="ctr"/>
        <c:lblOffset val="100"/>
        <c:noMultiLvlLbl val="0"/>
      </c:catAx>
      <c:valAx>
        <c:axId val="2030158063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FRR/FAR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161423"/>
        <c:crosses val="autoZero"/>
        <c:crossBetween val="between"/>
        <c:majorUnit val="0.1"/>
        <c:min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FRR/FAR Curve</a:t>
            </a:r>
            <a:r>
              <a:rPr lang="en-GB" sz="2000" baseline="0"/>
              <a:t> using max-z</a:t>
            </a:r>
            <a:endParaRPr lang="en-GB" sz="2000"/>
          </a:p>
        </c:rich>
      </c:tx>
      <c:layout>
        <c:manualLayout>
          <c:xMode val="edge"/>
          <c:yMode val="edge"/>
          <c:x val="0.29720636644571014"/>
          <c:y val="3.0905079277155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'keystroke specific'!$AI$4</c:f>
              <c:strCache>
                <c:ptCount val="1"/>
                <c:pt idx="0">
                  <c:v>FRR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'keystroke specific'!$AH$5:$AH$64</c:f>
              <c:numCache>
                <c:formatCode>0.000</c:formatCode>
                <c:ptCount val="60"/>
                <c:pt idx="0">
                  <c:v>0.21</c:v>
                </c:pt>
                <c:pt idx="1">
                  <c:v>0.22</c:v>
                </c:pt>
                <c:pt idx="2">
                  <c:v>0.23300000000000001</c:v>
                </c:pt>
                <c:pt idx="3">
                  <c:v>0.24600000000000002</c:v>
                </c:pt>
                <c:pt idx="4">
                  <c:v>0.25900000000000001</c:v>
                </c:pt>
                <c:pt idx="5">
                  <c:v>0.27200000000000002</c:v>
                </c:pt>
                <c:pt idx="6">
                  <c:v>0.28500000000000003</c:v>
                </c:pt>
                <c:pt idx="7">
                  <c:v>0.29800000000000004</c:v>
                </c:pt>
                <c:pt idx="8">
                  <c:v>0.31100000000000005</c:v>
                </c:pt>
                <c:pt idx="9">
                  <c:v>0.32400000000000007</c:v>
                </c:pt>
                <c:pt idx="10">
                  <c:v>0.33700000000000008</c:v>
                </c:pt>
                <c:pt idx="11">
                  <c:v>0.35000000000000009</c:v>
                </c:pt>
                <c:pt idx="12">
                  <c:v>0.3630000000000001</c:v>
                </c:pt>
                <c:pt idx="13">
                  <c:v>0.37600000000000011</c:v>
                </c:pt>
                <c:pt idx="14">
                  <c:v>0.38900000000000012</c:v>
                </c:pt>
                <c:pt idx="15">
                  <c:v>0.40200000000000014</c:v>
                </c:pt>
                <c:pt idx="16">
                  <c:v>0.41500000000000015</c:v>
                </c:pt>
                <c:pt idx="17">
                  <c:v>0.42800000000000016</c:v>
                </c:pt>
                <c:pt idx="18">
                  <c:v>0.44100000000000017</c:v>
                </c:pt>
                <c:pt idx="19">
                  <c:v>0.45400000000000018</c:v>
                </c:pt>
                <c:pt idx="20">
                  <c:v>0.46700000000000019</c:v>
                </c:pt>
                <c:pt idx="21">
                  <c:v>0.4800000000000002</c:v>
                </c:pt>
                <c:pt idx="22">
                  <c:v>0.49300000000000022</c:v>
                </c:pt>
                <c:pt idx="23">
                  <c:v>0.50600000000000023</c:v>
                </c:pt>
                <c:pt idx="24">
                  <c:v>0.51900000000000024</c:v>
                </c:pt>
                <c:pt idx="25">
                  <c:v>0.53200000000000025</c:v>
                </c:pt>
                <c:pt idx="26">
                  <c:v>0.54500000000000026</c:v>
                </c:pt>
                <c:pt idx="27">
                  <c:v>0.55800000000000027</c:v>
                </c:pt>
                <c:pt idx="28">
                  <c:v>0.57100000000000029</c:v>
                </c:pt>
                <c:pt idx="29">
                  <c:v>0.5840000000000003</c:v>
                </c:pt>
                <c:pt idx="30">
                  <c:v>0.59700000000000031</c:v>
                </c:pt>
                <c:pt idx="31">
                  <c:v>0.61000000000000032</c:v>
                </c:pt>
                <c:pt idx="32">
                  <c:v>0.62300000000000033</c:v>
                </c:pt>
                <c:pt idx="33">
                  <c:v>0.63600000000000034</c:v>
                </c:pt>
                <c:pt idx="34">
                  <c:v>0.64900000000000035</c:v>
                </c:pt>
                <c:pt idx="35">
                  <c:v>0.66200000000000037</c:v>
                </c:pt>
                <c:pt idx="36">
                  <c:v>0.67500000000000038</c:v>
                </c:pt>
                <c:pt idx="37">
                  <c:v>0.68800000000000039</c:v>
                </c:pt>
                <c:pt idx="38">
                  <c:v>0.7010000000000004</c:v>
                </c:pt>
                <c:pt idx="39">
                  <c:v>0.71400000000000041</c:v>
                </c:pt>
                <c:pt idx="40">
                  <c:v>0.72700000000000042</c:v>
                </c:pt>
                <c:pt idx="41">
                  <c:v>0.74000000000000044</c:v>
                </c:pt>
                <c:pt idx="42">
                  <c:v>0.75300000000000045</c:v>
                </c:pt>
                <c:pt idx="43">
                  <c:v>0.76600000000000046</c:v>
                </c:pt>
                <c:pt idx="44">
                  <c:v>0.77900000000000047</c:v>
                </c:pt>
                <c:pt idx="45">
                  <c:v>0.79200000000000048</c:v>
                </c:pt>
                <c:pt idx="46">
                  <c:v>0.80500000000000049</c:v>
                </c:pt>
                <c:pt idx="47">
                  <c:v>0.8180000000000005</c:v>
                </c:pt>
                <c:pt idx="48">
                  <c:v>0.83100000000000052</c:v>
                </c:pt>
                <c:pt idx="49">
                  <c:v>0.84400000000000053</c:v>
                </c:pt>
                <c:pt idx="50">
                  <c:v>0.85700000000000054</c:v>
                </c:pt>
                <c:pt idx="51">
                  <c:v>0.87000000000000055</c:v>
                </c:pt>
                <c:pt idx="52">
                  <c:v>0.88300000000000056</c:v>
                </c:pt>
                <c:pt idx="53">
                  <c:v>0.89600000000000057</c:v>
                </c:pt>
                <c:pt idx="54">
                  <c:v>0.90900000000000059</c:v>
                </c:pt>
                <c:pt idx="55">
                  <c:v>0.9220000000000006</c:v>
                </c:pt>
                <c:pt idx="56">
                  <c:v>0.93500000000000061</c:v>
                </c:pt>
                <c:pt idx="57">
                  <c:v>0.94800000000000062</c:v>
                </c:pt>
                <c:pt idx="58">
                  <c:v>0.96100000000000063</c:v>
                </c:pt>
                <c:pt idx="59">
                  <c:v>0.97400000000000064</c:v>
                </c:pt>
              </c:numCache>
            </c:numRef>
          </c:cat>
          <c:val>
            <c:numRef>
              <c:f>'keystroke specific'!$AI$5:$AI$64</c:f>
              <c:numCache>
                <c:formatCode>0.00</c:formatCode>
                <c:ptCount val="60"/>
                <c:pt idx="0">
                  <c:v>0.78333333333333333</c:v>
                </c:pt>
                <c:pt idx="1">
                  <c:v>0.73333333333333328</c:v>
                </c:pt>
                <c:pt idx="2">
                  <c:v>0.68333333333333335</c:v>
                </c:pt>
                <c:pt idx="3">
                  <c:v>0.66666666666666663</c:v>
                </c:pt>
                <c:pt idx="4">
                  <c:v>0.65</c:v>
                </c:pt>
                <c:pt idx="5">
                  <c:v>0.6333333333333333</c:v>
                </c:pt>
                <c:pt idx="6">
                  <c:v>0.6</c:v>
                </c:pt>
                <c:pt idx="7">
                  <c:v>0.55000000000000004</c:v>
                </c:pt>
                <c:pt idx="8">
                  <c:v>0.51666666666666672</c:v>
                </c:pt>
                <c:pt idx="9">
                  <c:v>0.48333333333333334</c:v>
                </c:pt>
                <c:pt idx="10">
                  <c:v>0.45</c:v>
                </c:pt>
                <c:pt idx="11">
                  <c:v>0.4</c:v>
                </c:pt>
                <c:pt idx="12">
                  <c:v>0.4</c:v>
                </c:pt>
                <c:pt idx="13">
                  <c:v>0.36666666666666664</c:v>
                </c:pt>
                <c:pt idx="14">
                  <c:v>0.3</c:v>
                </c:pt>
                <c:pt idx="15">
                  <c:v>0.26666666666666666</c:v>
                </c:pt>
                <c:pt idx="16">
                  <c:v>0.21666666666666667</c:v>
                </c:pt>
                <c:pt idx="17">
                  <c:v>0.16666666666666666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0.13333333333333333</c:v>
                </c:pt>
                <c:pt idx="23">
                  <c:v>0.13333333333333333</c:v>
                </c:pt>
                <c:pt idx="24">
                  <c:v>0.11666666666666667</c:v>
                </c:pt>
                <c:pt idx="25">
                  <c:v>0.11666666666666667</c:v>
                </c:pt>
                <c:pt idx="26">
                  <c:v>0.11666666666666667</c:v>
                </c:pt>
                <c:pt idx="27">
                  <c:v>0.11666666666666667</c:v>
                </c:pt>
                <c:pt idx="28">
                  <c:v>0.11666666666666667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6.6666666666666666E-2</c:v>
                </c:pt>
                <c:pt idx="41">
                  <c:v>6.6666666666666666E-2</c:v>
                </c:pt>
                <c:pt idx="42">
                  <c:v>6.6666666666666666E-2</c:v>
                </c:pt>
                <c:pt idx="43">
                  <c:v>6.6666666666666666E-2</c:v>
                </c:pt>
                <c:pt idx="44">
                  <c:v>6.6666666666666666E-2</c:v>
                </c:pt>
                <c:pt idx="45">
                  <c:v>6.6666666666666666E-2</c:v>
                </c:pt>
                <c:pt idx="46">
                  <c:v>6.6666666666666666E-2</c:v>
                </c:pt>
                <c:pt idx="47">
                  <c:v>6.6666666666666666E-2</c:v>
                </c:pt>
                <c:pt idx="48">
                  <c:v>6.6666666666666666E-2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3.3333333333333333E-2</c:v>
                </c:pt>
                <c:pt idx="54">
                  <c:v>3.3333333333333333E-2</c:v>
                </c:pt>
                <c:pt idx="55">
                  <c:v>3.3333333333333333E-2</c:v>
                </c:pt>
                <c:pt idx="56">
                  <c:v>3.3333333333333333E-2</c:v>
                </c:pt>
                <c:pt idx="57">
                  <c:v>3.3333333333333333E-2</c:v>
                </c:pt>
                <c:pt idx="58">
                  <c:v>3.3333333333333333E-2</c:v>
                </c:pt>
                <c:pt idx="59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B-4F5C-97DC-F95D1DB28496}"/>
            </c:ext>
          </c:extLst>
        </c:ser>
        <c:ser>
          <c:idx val="1"/>
          <c:order val="1"/>
          <c:tx>
            <c:strRef>
              <c:f>'keystroke specific'!$AJ$4</c:f>
              <c:strCache>
                <c:ptCount val="1"/>
                <c:pt idx="0">
                  <c:v>FAR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'keystroke specific'!$AH$5:$AH$64</c:f>
              <c:numCache>
                <c:formatCode>0.000</c:formatCode>
                <c:ptCount val="60"/>
                <c:pt idx="0">
                  <c:v>0.21</c:v>
                </c:pt>
                <c:pt idx="1">
                  <c:v>0.22</c:v>
                </c:pt>
                <c:pt idx="2">
                  <c:v>0.23300000000000001</c:v>
                </c:pt>
                <c:pt idx="3">
                  <c:v>0.24600000000000002</c:v>
                </c:pt>
                <c:pt idx="4">
                  <c:v>0.25900000000000001</c:v>
                </c:pt>
                <c:pt idx="5">
                  <c:v>0.27200000000000002</c:v>
                </c:pt>
                <c:pt idx="6">
                  <c:v>0.28500000000000003</c:v>
                </c:pt>
                <c:pt idx="7">
                  <c:v>0.29800000000000004</c:v>
                </c:pt>
                <c:pt idx="8">
                  <c:v>0.31100000000000005</c:v>
                </c:pt>
                <c:pt idx="9">
                  <c:v>0.32400000000000007</c:v>
                </c:pt>
                <c:pt idx="10">
                  <c:v>0.33700000000000008</c:v>
                </c:pt>
                <c:pt idx="11">
                  <c:v>0.35000000000000009</c:v>
                </c:pt>
                <c:pt idx="12">
                  <c:v>0.3630000000000001</c:v>
                </c:pt>
                <c:pt idx="13">
                  <c:v>0.37600000000000011</c:v>
                </c:pt>
                <c:pt idx="14">
                  <c:v>0.38900000000000012</c:v>
                </c:pt>
                <c:pt idx="15">
                  <c:v>0.40200000000000014</c:v>
                </c:pt>
                <c:pt idx="16">
                  <c:v>0.41500000000000015</c:v>
                </c:pt>
                <c:pt idx="17">
                  <c:v>0.42800000000000016</c:v>
                </c:pt>
                <c:pt idx="18">
                  <c:v>0.44100000000000017</c:v>
                </c:pt>
                <c:pt idx="19">
                  <c:v>0.45400000000000018</c:v>
                </c:pt>
                <c:pt idx="20">
                  <c:v>0.46700000000000019</c:v>
                </c:pt>
                <c:pt idx="21">
                  <c:v>0.4800000000000002</c:v>
                </c:pt>
                <c:pt idx="22">
                  <c:v>0.49300000000000022</c:v>
                </c:pt>
                <c:pt idx="23">
                  <c:v>0.50600000000000023</c:v>
                </c:pt>
                <c:pt idx="24">
                  <c:v>0.51900000000000024</c:v>
                </c:pt>
                <c:pt idx="25">
                  <c:v>0.53200000000000025</c:v>
                </c:pt>
                <c:pt idx="26">
                  <c:v>0.54500000000000026</c:v>
                </c:pt>
                <c:pt idx="27">
                  <c:v>0.55800000000000027</c:v>
                </c:pt>
                <c:pt idx="28">
                  <c:v>0.57100000000000029</c:v>
                </c:pt>
                <c:pt idx="29">
                  <c:v>0.5840000000000003</c:v>
                </c:pt>
                <c:pt idx="30">
                  <c:v>0.59700000000000031</c:v>
                </c:pt>
                <c:pt idx="31">
                  <c:v>0.61000000000000032</c:v>
                </c:pt>
                <c:pt idx="32">
                  <c:v>0.62300000000000033</c:v>
                </c:pt>
                <c:pt idx="33">
                  <c:v>0.63600000000000034</c:v>
                </c:pt>
                <c:pt idx="34">
                  <c:v>0.64900000000000035</c:v>
                </c:pt>
                <c:pt idx="35">
                  <c:v>0.66200000000000037</c:v>
                </c:pt>
                <c:pt idx="36">
                  <c:v>0.67500000000000038</c:v>
                </c:pt>
                <c:pt idx="37">
                  <c:v>0.68800000000000039</c:v>
                </c:pt>
                <c:pt idx="38">
                  <c:v>0.7010000000000004</c:v>
                </c:pt>
                <c:pt idx="39">
                  <c:v>0.71400000000000041</c:v>
                </c:pt>
                <c:pt idx="40">
                  <c:v>0.72700000000000042</c:v>
                </c:pt>
                <c:pt idx="41">
                  <c:v>0.74000000000000044</c:v>
                </c:pt>
                <c:pt idx="42">
                  <c:v>0.75300000000000045</c:v>
                </c:pt>
                <c:pt idx="43">
                  <c:v>0.76600000000000046</c:v>
                </c:pt>
                <c:pt idx="44">
                  <c:v>0.77900000000000047</c:v>
                </c:pt>
                <c:pt idx="45">
                  <c:v>0.79200000000000048</c:v>
                </c:pt>
                <c:pt idx="46">
                  <c:v>0.80500000000000049</c:v>
                </c:pt>
                <c:pt idx="47">
                  <c:v>0.8180000000000005</c:v>
                </c:pt>
                <c:pt idx="48">
                  <c:v>0.83100000000000052</c:v>
                </c:pt>
                <c:pt idx="49">
                  <c:v>0.84400000000000053</c:v>
                </c:pt>
                <c:pt idx="50">
                  <c:v>0.85700000000000054</c:v>
                </c:pt>
                <c:pt idx="51">
                  <c:v>0.87000000000000055</c:v>
                </c:pt>
                <c:pt idx="52">
                  <c:v>0.88300000000000056</c:v>
                </c:pt>
                <c:pt idx="53">
                  <c:v>0.89600000000000057</c:v>
                </c:pt>
                <c:pt idx="54">
                  <c:v>0.90900000000000059</c:v>
                </c:pt>
                <c:pt idx="55">
                  <c:v>0.9220000000000006</c:v>
                </c:pt>
                <c:pt idx="56">
                  <c:v>0.93500000000000061</c:v>
                </c:pt>
                <c:pt idx="57">
                  <c:v>0.94800000000000062</c:v>
                </c:pt>
                <c:pt idx="58">
                  <c:v>0.96100000000000063</c:v>
                </c:pt>
                <c:pt idx="59">
                  <c:v>0.97400000000000064</c:v>
                </c:pt>
              </c:numCache>
            </c:numRef>
          </c:cat>
          <c:val>
            <c:numRef>
              <c:f>'keystroke specific'!$AJ$5:$AJ$64</c:f>
              <c:numCache>
                <c:formatCode>0.00</c:formatCode>
                <c:ptCount val="60"/>
                <c:pt idx="0">
                  <c:v>1.6666666666666666E-2</c:v>
                </c:pt>
                <c:pt idx="1">
                  <c:v>1.6666666666666666E-2</c:v>
                </c:pt>
                <c:pt idx="2">
                  <c:v>1.6666666666666666E-2</c:v>
                </c:pt>
                <c:pt idx="3">
                  <c:v>3.3333333333333333E-2</c:v>
                </c:pt>
                <c:pt idx="4">
                  <c:v>3.3333333333333333E-2</c:v>
                </c:pt>
                <c:pt idx="5">
                  <c:v>3.3333333333333333E-2</c:v>
                </c:pt>
                <c:pt idx="6">
                  <c:v>3.3333333333333333E-2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3.3333333333333333E-2</c:v>
                </c:pt>
                <c:pt idx="12">
                  <c:v>3.3333333333333333E-2</c:v>
                </c:pt>
                <c:pt idx="13">
                  <c:v>3.3333333333333333E-2</c:v>
                </c:pt>
                <c:pt idx="14">
                  <c:v>0.05</c:v>
                </c:pt>
                <c:pt idx="15">
                  <c:v>6.6666666666666666E-2</c:v>
                </c:pt>
                <c:pt idx="16">
                  <c:v>6.6666666666666666E-2</c:v>
                </c:pt>
                <c:pt idx="17">
                  <c:v>8.3333333333333329E-2</c:v>
                </c:pt>
                <c:pt idx="18">
                  <c:v>8.3333333333333329E-2</c:v>
                </c:pt>
                <c:pt idx="19">
                  <c:v>8.3333333333333329E-2</c:v>
                </c:pt>
                <c:pt idx="20">
                  <c:v>8.3333333333333329E-2</c:v>
                </c:pt>
                <c:pt idx="21">
                  <c:v>8.3333333333333329E-2</c:v>
                </c:pt>
                <c:pt idx="22">
                  <c:v>8.3333333333333329E-2</c:v>
                </c:pt>
                <c:pt idx="23">
                  <c:v>8.3333333333333329E-2</c:v>
                </c:pt>
                <c:pt idx="24">
                  <c:v>8.3333333333333329E-2</c:v>
                </c:pt>
                <c:pt idx="25">
                  <c:v>0.1</c:v>
                </c:pt>
                <c:pt idx="26">
                  <c:v>0.1</c:v>
                </c:pt>
                <c:pt idx="27">
                  <c:v>0.11666666666666667</c:v>
                </c:pt>
                <c:pt idx="28">
                  <c:v>0.13333333333333333</c:v>
                </c:pt>
                <c:pt idx="29">
                  <c:v>0.13333333333333333</c:v>
                </c:pt>
                <c:pt idx="30">
                  <c:v>0.13333333333333333</c:v>
                </c:pt>
                <c:pt idx="31">
                  <c:v>0.15</c:v>
                </c:pt>
                <c:pt idx="32">
                  <c:v>0.15</c:v>
                </c:pt>
                <c:pt idx="33">
                  <c:v>0.18333333333333332</c:v>
                </c:pt>
                <c:pt idx="34">
                  <c:v>0.2</c:v>
                </c:pt>
                <c:pt idx="35">
                  <c:v>0.21666666666666667</c:v>
                </c:pt>
                <c:pt idx="36">
                  <c:v>0.23333333333333334</c:v>
                </c:pt>
                <c:pt idx="37">
                  <c:v>0.23333333333333334</c:v>
                </c:pt>
                <c:pt idx="38">
                  <c:v>0.25</c:v>
                </c:pt>
                <c:pt idx="39">
                  <c:v>0.25</c:v>
                </c:pt>
                <c:pt idx="40">
                  <c:v>0.26666666666666666</c:v>
                </c:pt>
                <c:pt idx="41">
                  <c:v>0.26666666666666666</c:v>
                </c:pt>
                <c:pt idx="42">
                  <c:v>0.26666666666666666</c:v>
                </c:pt>
                <c:pt idx="43">
                  <c:v>0.28333333333333333</c:v>
                </c:pt>
                <c:pt idx="44">
                  <c:v>0.3</c:v>
                </c:pt>
                <c:pt idx="45">
                  <c:v>0.3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0.36666666666666664</c:v>
                </c:pt>
                <c:pt idx="50">
                  <c:v>0.36666666666666664</c:v>
                </c:pt>
                <c:pt idx="51">
                  <c:v>0.36666666666666664</c:v>
                </c:pt>
                <c:pt idx="52">
                  <c:v>0.36666666666666664</c:v>
                </c:pt>
                <c:pt idx="53">
                  <c:v>0.36666666666666664</c:v>
                </c:pt>
                <c:pt idx="54">
                  <c:v>0.38333333333333336</c:v>
                </c:pt>
                <c:pt idx="55">
                  <c:v>0.38333333333333336</c:v>
                </c:pt>
                <c:pt idx="56">
                  <c:v>0.38333333333333336</c:v>
                </c:pt>
                <c:pt idx="57">
                  <c:v>0.38333333333333336</c:v>
                </c:pt>
                <c:pt idx="58">
                  <c:v>0.38333333333333336</c:v>
                </c:pt>
                <c:pt idx="59">
                  <c:v>0.38333333333333336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EB-4F5C-97DC-F95D1DB28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161423"/>
        <c:axId val="2030158063"/>
      </c:lineChart>
      <c:catAx>
        <c:axId val="2030161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Threshold</a:t>
                </a:r>
                <a:r>
                  <a:rPr lang="en-GB" sz="1800" baseline="0"/>
                  <a:t> Value</a:t>
                </a:r>
                <a:endParaRPr lang="en-GB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158063"/>
        <c:crosses val="autoZero"/>
        <c:auto val="1"/>
        <c:lblAlgn val="ctr"/>
        <c:lblOffset val="100"/>
        <c:noMultiLvlLbl val="0"/>
      </c:catAx>
      <c:valAx>
        <c:axId val="2030158063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FRR/FAR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161423"/>
        <c:crosses val="autoZero"/>
        <c:crossBetween val="between"/>
        <c:majorUnit val="0.1"/>
        <c:min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Keystroke Similarity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'keystroke specific'!$BB$4</c:f>
              <c:strCache>
                <c:ptCount val="1"/>
                <c:pt idx="0">
                  <c:v>Genuine Similarity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'keystroke specific'!$BA$5:$BA$64</c:f>
              <c:numCache>
                <c:formatCode>0.0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'keystroke specific'!$BB$5:$BB$64</c:f>
              <c:numCache>
                <c:formatCode>General</c:formatCode>
                <c:ptCount val="60"/>
                <c:pt idx="0">
                  <c:v>0.79100000000000004</c:v>
                </c:pt>
                <c:pt idx="1">
                  <c:v>0.86299999999999999</c:v>
                </c:pt>
                <c:pt idx="2">
                  <c:v>0.72799999999999998</c:v>
                </c:pt>
                <c:pt idx="3">
                  <c:v>0.77700000000000002</c:v>
                </c:pt>
                <c:pt idx="4">
                  <c:v>0.748</c:v>
                </c:pt>
                <c:pt idx="5">
                  <c:v>0.88</c:v>
                </c:pt>
                <c:pt idx="6">
                  <c:v>0.88600000000000001</c:v>
                </c:pt>
                <c:pt idx="7">
                  <c:v>0.84799999999999998</c:v>
                </c:pt>
                <c:pt idx="8">
                  <c:v>0.81499999999999995</c:v>
                </c:pt>
                <c:pt idx="9">
                  <c:v>0.874</c:v>
                </c:pt>
                <c:pt idx="10">
                  <c:v>0.89</c:v>
                </c:pt>
                <c:pt idx="11">
                  <c:v>0.87</c:v>
                </c:pt>
                <c:pt idx="12">
                  <c:v>0.88100000000000001</c:v>
                </c:pt>
                <c:pt idx="13">
                  <c:v>0.872</c:v>
                </c:pt>
                <c:pt idx="14">
                  <c:v>0.76300000000000001</c:v>
                </c:pt>
                <c:pt idx="15">
                  <c:v>0.79800000000000004</c:v>
                </c:pt>
                <c:pt idx="16">
                  <c:v>0.91700000000000004</c:v>
                </c:pt>
                <c:pt idx="17">
                  <c:v>0.86699999999999999</c:v>
                </c:pt>
                <c:pt idx="18">
                  <c:v>0.80100000000000005</c:v>
                </c:pt>
                <c:pt idx="19">
                  <c:v>0.74099999999999999</c:v>
                </c:pt>
                <c:pt idx="20">
                  <c:v>0.95499999999999996</c:v>
                </c:pt>
                <c:pt idx="21">
                  <c:v>0.88600000000000001</c:v>
                </c:pt>
                <c:pt idx="22">
                  <c:v>0.93799999999999994</c:v>
                </c:pt>
                <c:pt idx="23">
                  <c:v>0.81399999999999995</c:v>
                </c:pt>
                <c:pt idx="24">
                  <c:v>0.88300000000000001</c:v>
                </c:pt>
                <c:pt idx="25">
                  <c:v>0.81399999999999995</c:v>
                </c:pt>
                <c:pt idx="26">
                  <c:v>0.96499999999999997</c:v>
                </c:pt>
                <c:pt idx="27">
                  <c:v>0.52</c:v>
                </c:pt>
                <c:pt idx="28">
                  <c:v>0.59599999999999997</c:v>
                </c:pt>
                <c:pt idx="29">
                  <c:v>0.61899999999999999</c:v>
                </c:pt>
                <c:pt idx="30">
                  <c:v>0.79400000000000004</c:v>
                </c:pt>
                <c:pt idx="31">
                  <c:v>0.95599999999999996</c:v>
                </c:pt>
                <c:pt idx="32">
                  <c:v>0.78</c:v>
                </c:pt>
                <c:pt idx="33">
                  <c:v>0.86499999999999999</c:v>
                </c:pt>
                <c:pt idx="34">
                  <c:v>0.75600000000000001</c:v>
                </c:pt>
                <c:pt idx="35">
                  <c:v>0.82</c:v>
                </c:pt>
                <c:pt idx="36">
                  <c:v>0.80100000000000005</c:v>
                </c:pt>
                <c:pt idx="37">
                  <c:v>9.8000000000000004E-2</c:v>
                </c:pt>
                <c:pt idx="38">
                  <c:v>0.85</c:v>
                </c:pt>
                <c:pt idx="39">
                  <c:v>0.79500000000000004</c:v>
                </c:pt>
                <c:pt idx="40">
                  <c:v>0.86199999999999999</c:v>
                </c:pt>
                <c:pt idx="41">
                  <c:v>0.80500000000000005</c:v>
                </c:pt>
                <c:pt idx="42">
                  <c:v>0.73899999999999999</c:v>
                </c:pt>
                <c:pt idx="43">
                  <c:v>0.871</c:v>
                </c:pt>
                <c:pt idx="44">
                  <c:v>0.9</c:v>
                </c:pt>
                <c:pt idx="45">
                  <c:v>0.92700000000000005</c:v>
                </c:pt>
                <c:pt idx="46">
                  <c:v>0.93799999999999994</c:v>
                </c:pt>
                <c:pt idx="47">
                  <c:v>0.77200000000000002</c:v>
                </c:pt>
                <c:pt idx="48">
                  <c:v>0.77200000000000002</c:v>
                </c:pt>
                <c:pt idx="49">
                  <c:v>0.79600000000000004</c:v>
                </c:pt>
                <c:pt idx="50">
                  <c:v>0.83799999999999997</c:v>
                </c:pt>
                <c:pt idx="51">
                  <c:v>0.80700000000000005</c:v>
                </c:pt>
                <c:pt idx="52">
                  <c:v>0.93600000000000005</c:v>
                </c:pt>
                <c:pt idx="53">
                  <c:v>0.84099999999999997</c:v>
                </c:pt>
                <c:pt idx="54">
                  <c:v>0.76500000000000001</c:v>
                </c:pt>
                <c:pt idx="55">
                  <c:v>0.76800000000000002</c:v>
                </c:pt>
                <c:pt idx="56">
                  <c:v>0.92200000000000004</c:v>
                </c:pt>
                <c:pt idx="57">
                  <c:v>0.83799999999999997</c:v>
                </c:pt>
                <c:pt idx="58">
                  <c:v>0.88300000000000001</c:v>
                </c:pt>
                <c:pt idx="59">
                  <c:v>0.85499999999999998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A-4FB1-BD9F-4FC3D4666079}"/>
            </c:ext>
          </c:extLst>
        </c:ser>
        <c:ser>
          <c:idx val="1"/>
          <c:order val="1"/>
          <c:tx>
            <c:strRef>
              <c:f>'keystroke specific'!$BC$4</c:f>
              <c:strCache>
                <c:ptCount val="1"/>
                <c:pt idx="0">
                  <c:v>Impostor Similairty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'keystroke specific'!$BA$5:$BA$64</c:f>
              <c:numCache>
                <c:formatCode>0.0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'keystroke specific'!$BC$5:$BC$64</c:f>
              <c:numCache>
                <c:formatCode>General</c:formatCode>
                <c:ptCount val="60"/>
                <c:pt idx="0">
                  <c:v>0.878</c:v>
                </c:pt>
                <c:pt idx="1">
                  <c:v>0.217</c:v>
                </c:pt>
                <c:pt idx="2">
                  <c:v>0.61</c:v>
                </c:pt>
                <c:pt idx="3">
                  <c:v>0.51800000000000002</c:v>
                </c:pt>
                <c:pt idx="4">
                  <c:v>0.41099999999999998</c:v>
                </c:pt>
                <c:pt idx="5">
                  <c:v>0.85199999999999998</c:v>
                </c:pt>
                <c:pt idx="6">
                  <c:v>0.63100000000000001</c:v>
                </c:pt>
                <c:pt idx="7">
                  <c:v>0.52</c:v>
                </c:pt>
                <c:pt idx="8">
                  <c:v>0.56100000000000005</c:v>
                </c:pt>
                <c:pt idx="9">
                  <c:v>0.442</c:v>
                </c:pt>
                <c:pt idx="10">
                  <c:v>0.38100000000000001</c:v>
                </c:pt>
                <c:pt idx="11">
                  <c:v>0.496</c:v>
                </c:pt>
                <c:pt idx="12">
                  <c:v>0.183</c:v>
                </c:pt>
                <c:pt idx="13">
                  <c:v>0.85699999999999998</c:v>
                </c:pt>
                <c:pt idx="14">
                  <c:v>0.46899999999999997</c:v>
                </c:pt>
                <c:pt idx="15">
                  <c:v>0.48399999999999999</c:v>
                </c:pt>
                <c:pt idx="16">
                  <c:v>0.50900000000000001</c:v>
                </c:pt>
                <c:pt idx="17">
                  <c:v>0.38100000000000001</c:v>
                </c:pt>
                <c:pt idx="18">
                  <c:v>0.496</c:v>
                </c:pt>
                <c:pt idx="19">
                  <c:v>0.27400000000000002</c:v>
                </c:pt>
                <c:pt idx="20">
                  <c:v>0.51200000000000001</c:v>
                </c:pt>
                <c:pt idx="21">
                  <c:v>0.68500000000000005</c:v>
                </c:pt>
                <c:pt idx="22">
                  <c:v>0.56799999999999995</c:v>
                </c:pt>
                <c:pt idx="23">
                  <c:v>0.51200000000000001</c:v>
                </c:pt>
                <c:pt idx="24">
                  <c:v>0.68500000000000005</c:v>
                </c:pt>
                <c:pt idx="25">
                  <c:v>0.64400000000000002</c:v>
                </c:pt>
                <c:pt idx="26">
                  <c:v>0.51400000000000001</c:v>
                </c:pt>
                <c:pt idx="27">
                  <c:v>0.68500000000000005</c:v>
                </c:pt>
                <c:pt idx="28">
                  <c:v>0.64400000000000002</c:v>
                </c:pt>
                <c:pt idx="29">
                  <c:v>0.51400000000000001</c:v>
                </c:pt>
                <c:pt idx="30">
                  <c:v>0.63100000000000001</c:v>
                </c:pt>
                <c:pt idx="31">
                  <c:v>0.33600000000000002</c:v>
                </c:pt>
                <c:pt idx="32">
                  <c:v>0.63</c:v>
                </c:pt>
                <c:pt idx="33">
                  <c:v>0.623</c:v>
                </c:pt>
                <c:pt idx="34">
                  <c:v>0.61299999999999999</c:v>
                </c:pt>
                <c:pt idx="35">
                  <c:v>0.65400000000000003</c:v>
                </c:pt>
                <c:pt idx="36">
                  <c:v>0.69799999999999995</c:v>
                </c:pt>
                <c:pt idx="37">
                  <c:v>0.72699999999999998</c:v>
                </c:pt>
                <c:pt idx="38">
                  <c:v>0.68100000000000005</c:v>
                </c:pt>
                <c:pt idx="39">
                  <c:v>0.64</c:v>
                </c:pt>
                <c:pt idx="40">
                  <c:v>0.53600000000000003</c:v>
                </c:pt>
                <c:pt idx="41">
                  <c:v>0.67100000000000004</c:v>
                </c:pt>
                <c:pt idx="42">
                  <c:v>0.74199999999999999</c:v>
                </c:pt>
                <c:pt idx="43">
                  <c:v>0.70899999999999996</c:v>
                </c:pt>
                <c:pt idx="44">
                  <c:v>0.64900000000000002</c:v>
                </c:pt>
                <c:pt idx="45">
                  <c:v>0.442</c:v>
                </c:pt>
                <c:pt idx="46">
                  <c:v>0.65800000000000003</c:v>
                </c:pt>
                <c:pt idx="47">
                  <c:v>0.68100000000000005</c:v>
                </c:pt>
                <c:pt idx="48">
                  <c:v>0.90100000000000002</c:v>
                </c:pt>
                <c:pt idx="49">
                  <c:v>0.64200000000000002</c:v>
                </c:pt>
                <c:pt idx="50">
                  <c:v>0.65100000000000002</c:v>
                </c:pt>
                <c:pt idx="51">
                  <c:v>0.65100000000000002</c:v>
                </c:pt>
                <c:pt idx="52">
                  <c:v>0.52300000000000002</c:v>
                </c:pt>
                <c:pt idx="53">
                  <c:v>0.54500000000000004</c:v>
                </c:pt>
                <c:pt idx="54">
                  <c:v>0.57599999999999996</c:v>
                </c:pt>
                <c:pt idx="55">
                  <c:v>0.44500000000000001</c:v>
                </c:pt>
                <c:pt idx="56">
                  <c:v>0.65100000000000002</c:v>
                </c:pt>
                <c:pt idx="57">
                  <c:v>0.39300000000000002</c:v>
                </c:pt>
                <c:pt idx="58">
                  <c:v>0.69799999999999995</c:v>
                </c:pt>
                <c:pt idx="59">
                  <c:v>0.63800000000000001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A-4FB1-BD9F-4FC3D4666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871616"/>
        <c:axId val="2003888416"/>
      </c:scatterChart>
      <c:valAx>
        <c:axId val="200387161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Attempt</a:t>
                </a:r>
                <a:r>
                  <a:rPr lang="en-GB" sz="1100" baseline="0"/>
                  <a:t> Number</a:t>
                </a:r>
                <a:endParaRPr lang="en-GB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88416"/>
        <c:crosses val="autoZero"/>
        <c:crossBetween val="midCat"/>
      </c:valAx>
      <c:valAx>
        <c:axId val="2003888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Similarity</a:t>
                </a:r>
                <a:r>
                  <a:rPr lang="en-GB" sz="1100" baseline="0"/>
                  <a:t>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7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Participant-by-Participant  Behavioural</a:t>
            </a:r>
            <a:r>
              <a:rPr lang="en-GB" baseline="0"/>
              <a:t> </a:t>
            </a:r>
          </a:p>
          <a:p>
            <a:pPr>
              <a:defRPr/>
            </a:pPr>
            <a:r>
              <a:rPr lang="en-GB"/>
              <a:t>Genuine Pass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far_summrary!$B$19</c:f>
              <c:strCache>
                <c:ptCount val="1"/>
                <c:pt idx="0">
                  <c:v>Keystroke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far_summrary!$A$20:$A$25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far_summrary!$B$20:$B$25</c:f>
              <c:numCache>
                <c:formatCode>0.00%</c:formatCode>
                <c:ptCount val="6"/>
                <c:pt idx="0">
                  <c:v>1</c:v>
                </c:pt>
                <c:pt idx="1">
                  <c:v>0.7</c:v>
                </c:pt>
                <c:pt idx="2">
                  <c:v>0.9</c:v>
                </c:pt>
                <c:pt idx="3">
                  <c:v>0.8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8-4C27-A901-6F6DAB695AFE}"/>
            </c:ext>
          </c:extLst>
        </c:ser>
        <c:ser>
          <c:idx val="1"/>
          <c:order val="1"/>
          <c:tx>
            <c:strRef>
              <c:f>far_summrary!$C$19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far_summrary!$A$20:$A$25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far_summrary!$C$20:$C$25</c:f>
              <c:numCache>
                <c:formatCode>0.00%</c:formatCode>
                <c:ptCount val="6"/>
                <c:pt idx="0">
                  <c:v>0.65</c:v>
                </c:pt>
                <c:pt idx="1">
                  <c:v>0.3</c:v>
                </c:pt>
                <c:pt idx="2">
                  <c:v>0.3</c:v>
                </c:pt>
                <c:pt idx="3">
                  <c:v>0.7</c:v>
                </c:pt>
                <c:pt idx="4">
                  <c:v>0.9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E8-4C27-A901-6F6DAB695AFE}"/>
            </c:ext>
          </c:extLst>
        </c:ser>
        <c:ser>
          <c:idx val="2"/>
          <c:order val="2"/>
          <c:tx>
            <c:strRef>
              <c:f>far_summrary!$D$19</c:f>
              <c:strCache>
                <c:ptCount val="1"/>
                <c:pt idx="0">
                  <c:v>Weighted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far_summrary!$A$20:$A$25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far_summrary!$D$20:$D$25</c:f>
              <c:numCache>
                <c:formatCode>0.00%</c:formatCode>
                <c:ptCount val="6"/>
                <c:pt idx="0">
                  <c:v>1</c:v>
                </c:pt>
                <c:pt idx="1">
                  <c:v>0.7</c:v>
                </c:pt>
                <c:pt idx="2">
                  <c:v>0.9</c:v>
                </c:pt>
                <c:pt idx="3">
                  <c:v>0.8</c:v>
                </c:pt>
                <c:pt idx="4">
                  <c:v>1</c:v>
                </c:pt>
                <c:pt idx="5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E8-4C27-A901-6F6DAB695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1330479"/>
        <c:axId val="1561330959"/>
      </c:barChart>
      <c:catAx>
        <c:axId val="156133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Participant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30959"/>
        <c:crosses val="autoZero"/>
        <c:auto val="1"/>
        <c:lblAlgn val="ctr"/>
        <c:lblOffset val="100"/>
        <c:noMultiLvlLbl val="0"/>
      </c:catAx>
      <c:valAx>
        <c:axId val="15613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Genuine Pass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3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Multimodal Rule Comparison : TAR,FAR,TRR,FRR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far_summrary!$A$12</c:f>
              <c:strCache>
                <c:ptCount val="1"/>
                <c:pt idx="0">
                  <c:v>Strict 3-Gate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far_summrary!$B$9:$E$11</c:f>
              <c:strCache>
                <c:ptCount val="4"/>
                <c:pt idx="0">
                  <c:v>TAR</c:v>
                </c:pt>
                <c:pt idx="1">
                  <c:v>FAR</c:v>
                </c:pt>
                <c:pt idx="2">
                  <c:v>TRR</c:v>
                </c:pt>
                <c:pt idx="3">
                  <c:v>FRR</c:v>
                </c:pt>
              </c:strCache>
            </c:strRef>
          </c:cat>
          <c:val>
            <c:numRef>
              <c:f>far_summrary!$B$12:$E$12</c:f>
              <c:numCache>
                <c:formatCode>0.00%</c:formatCode>
                <c:ptCount val="4"/>
                <c:pt idx="0">
                  <c:v>0.53333333333333333</c:v>
                </c:pt>
                <c:pt idx="1">
                  <c:v>0</c:v>
                </c:pt>
                <c:pt idx="2">
                  <c:v>1</c:v>
                </c:pt>
                <c:pt idx="3">
                  <c:v>0.46666666666666667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C-42FB-8BFD-FBBA1724D91A}"/>
            </c:ext>
          </c:extLst>
        </c:ser>
        <c:ser>
          <c:idx val="1"/>
          <c:order val="1"/>
          <c:tx>
            <c:strRef>
              <c:f>far_summrary!$A$13</c:f>
              <c:strCache>
                <c:ptCount val="1"/>
                <c:pt idx="0">
                  <c:v>Weighted Rule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far_summrary!$B$9:$E$11</c:f>
              <c:strCache>
                <c:ptCount val="4"/>
                <c:pt idx="0">
                  <c:v>TAR</c:v>
                </c:pt>
                <c:pt idx="1">
                  <c:v>FAR</c:v>
                </c:pt>
                <c:pt idx="2">
                  <c:v>TRR</c:v>
                </c:pt>
                <c:pt idx="3">
                  <c:v>FRR</c:v>
                </c:pt>
              </c:strCache>
            </c:strRef>
          </c:cat>
          <c:val>
            <c:numRef>
              <c:f>far_summrary!$B$13:$E$13</c:f>
              <c:numCache>
                <c:formatCode>0.00%</c:formatCode>
                <c:ptCount val="4"/>
                <c:pt idx="0">
                  <c:v>0.9</c:v>
                </c:pt>
                <c:pt idx="1">
                  <c:v>0.05</c:v>
                </c:pt>
                <c:pt idx="2">
                  <c:v>0.95</c:v>
                </c:pt>
                <c:pt idx="3">
                  <c:v>9.9999999999999978E-2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1C-42FB-8BFD-FBBA1724D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500655"/>
        <c:axId val="584497775"/>
      </c:barChart>
      <c:catAx>
        <c:axId val="58450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Biometric</a:t>
                </a:r>
                <a:r>
                  <a:rPr lang="en-GB" baseline="0"/>
                  <a:t> Performance Metric Type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97775"/>
        <c:crosses val="autoZero"/>
        <c:auto val="1"/>
        <c:lblAlgn val="ctr"/>
        <c:lblOffset val="100"/>
        <c:noMultiLvlLbl val="0"/>
      </c:catAx>
      <c:valAx>
        <c:axId val="5844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Success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50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Inidvidual Modality : TAR,FAR,TRR,FRR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far_summrary!$A$2</c:f>
              <c:strCache>
                <c:ptCount val="1"/>
                <c:pt idx="0">
                  <c:v>Keystroke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far_summrary!$B$1:$E$1</c:f>
              <c:strCache>
                <c:ptCount val="4"/>
                <c:pt idx="0">
                  <c:v>TAR</c:v>
                </c:pt>
                <c:pt idx="1">
                  <c:v>FAR</c:v>
                </c:pt>
                <c:pt idx="2">
                  <c:v>TRR</c:v>
                </c:pt>
                <c:pt idx="3">
                  <c:v>FRR</c:v>
                </c:pt>
              </c:strCache>
            </c:strRef>
          </c:cat>
          <c:val>
            <c:numRef>
              <c:f>far_summrary!$B$2:$E$2</c:f>
              <c:numCache>
                <c:formatCode>0.00%</c:formatCode>
                <c:ptCount val="4"/>
                <c:pt idx="0">
                  <c:v>0.9</c:v>
                </c:pt>
                <c:pt idx="1">
                  <c:v>8.3333333333333329E-2</c:v>
                </c:pt>
                <c:pt idx="2">
                  <c:v>0.91666666666666663</c:v>
                </c:pt>
                <c:pt idx="3">
                  <c:v>9.9999999999999978E-2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4-4AA6-92B2-571B5BD87C6F}"/>
            </c:ext>
          </c:extLst>
        </c:ser>
        <c:ser>
          <c:idx val="1"/>
          <c:order val="1"/>
          <c:tx>
            <c:strRef>
              <c:f>far_summrary!$A$3</c:f>
              <c:strCache>
                <c:ptCount val="1"/>
                <c:pt idx="0">
                  <c:v>Graphical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far_summrary!$B$1:$E$1</c:f>
              <c:strCache>
                <c:ptCount val="4"/>
                <c:pt idx="0">
                  <c:v>TAR</c:v>
                </c:pt>
                <c:pt idx="1">
                  <c:v>FAR</c:v>
                </c:pt>
                <c:pt idx="2">
                  <c:v>TRR</c:v>
                </c:pt>
                <c:pt idx="3">
                  <c:v>FRR</c:v>
                </c:pt>
              </c:strCache>
            </c:strRef>
          </c:cat>
          <c:val>
            <c:numRef>
              <c:f>far_summrary!$B$3:$E$3</c:f>
              <c:numCache>
                <c:formatCode>0.00%</c:formatCode>
                <c:ptCount val="4"/>
                <c:pt idx="0">
                  <c:v>1</c:v>
                </c:pt>
                <c:pt idx="1">
                  <c:v>0.23333333333333334</c:v>
                </c:pt>
                <c:pt idx="2">
                  <c:v>0.76666666666666661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4-4AA6-92B2-571B5BD87C6F}"/>
            </c:ext>
          </c:extLst>
        </c:ser>
        <c:ser>
          <c:idx val="2"/>
          <c:order val="2"/>
          <c:tx>
            <c:strRef>
              <c:f>far_summrary!$A$4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far_summrary!$B$1:$E$1</c:f>
              <c:strCache>
                <c:ptCount val="4"/>
                <c:pt idx="0">
                  <c:v>TAR</c:v>
                </c:pt>
                <c:pt idx="1">
                  <c:v>FAR</c:v>
                </c:pt>
                <c:pt idx="2">
                  <c:v>TRR</c:v>
                </c:pt>
                <c:pt idx="3">
                  <c:v>FRR</c:v>
                </c:pt>
              </c:strCache>
            </c:strRef>
          </c:cat>
          <c:val>
            <c:numRef>
              <c:f>far_summrary!$B$4:$E$4</c:f>
              <c:numCache>
                <c:formatCode>0.00%</c:formatCode>
                <c:ptCount val="4"/>
                <c:pt idx="0">
                  <c:v>0.58333333333333337</c:v>
                </c:pt>
                <c:pt idx="1">
                  <c:v>0.26666666666666666</c:v>
                </c:pt>
                <c:pt idx="2">
                  <c:v>0.73333333333333339</c:v>
                </c:pt>
                <c:pt idx="3">
                  <c:v>0.41666666666666663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44-4AA6-92B2-571B5BD87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08400"/>
        <c:axId val="28209360"/>
      </c:barChart>
      <c:catAx>
        <c:axId val="2820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Biometric Performance Metric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9360"/>
        <c:crosses val="autoZero"/>
        <c:auto val="1"/>
        <c:lblAlgn val="ctr"/>
        <c:lblOffset val="100"/>
        <c:noMultiLvlLbl val="0"/>
      </c:catAx>
      <c:valAx>
        <c:axId val="2820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Success</a:t>
                </a:r>
                <a:r>
                  <a:rPr lang="en-GB" sz="1050" baseline="0"/>
                  <a:t> %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Modality Trade Off: Individual &amp; Multimodal 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far_summrary!$I$1</c:f>
              <c:strCache>
                <c:ptCount val="1"/>
                <c:pt idx="0">
                  <c:v>FRR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328186434710774E-2"/>
                  <c:y val="-4.6201670899798764E-2"/>
                </c:manualLayout>
              </c:layout>
              <c:tx>
                <c:rich>
                  <a:bodyPr/>
                  <a:lstStyle/>
                  <a:p>
                    <a:fld id="{1B0C99FF-6BE0-4EE1-A2E5-7671326B88B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47E-4AE0-86F1-948071C5E8E7}"/>
                </c:ext>
              </c:extLst>
            </c:dLbl>
            <c:dLbl>
              <c:idx val="1"/>
              <c:layout>
                <c:manualLayout>
                  <c:x val="3.5667184349636873E-2"/>
                  <c:y val="-4.2351531658148867E-2"/>
                </c:manualLayout>
              </c:layout>
              <c:tx>
                <c:rich>
                  <a:bodyPr/>
                  <a:lstStyle/>
                  <a:p>
                    <a:fld id="{B34D0C69-42B2-4F93-9D67-726AAE391B4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47E-4AE0-86F1-948071C5E8E7}"/>
                </c:ext>
              </c:extLst>
            </c:dLbl>
            <c:dLbl>
              <c:idx val="2"/>
              <c:layout>
                <c:manualLayout>
                  <c:x val="1.1888437885713409E-2"/>
                  <c:y val="-3.4651253174849142E-2"/>
                </c:manualLayout>
              </c:layout>
              <c:tx>
                <c:rich>
                  <a:bodyPr/>
                  <a:lstStyle/>
                  <a:p>
                    <a:fld id="{D3C5B9F9-24F9-4397-8F98-681B6C9977B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47E-4AE0-86F1-948071C5E8E7}"/>
                </c:ext>
              </c:extLst>
            </c:dLbl>
            <c:dLbl>
              <c:idx val="3"/>
              <c:layout>
                <c:manualLayout>
                  <c:x val="-1.4141375334582825E-4"/>
                  <c:y val="-3.4402777033704139E-2"/>
                </c:manualLayout>
              </c:layout>
              <c:tx>
                <c:rich>
                  <a:bodyPr/>
                  <a:lstStyle/>
                  <a:p>
                    <a:fld id="{A2ECFF7D-9626-4E19-9D9B-1F99417B00D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47E-4AE0-86F1-948071C5E8E7}"/>
                </c:ext>
              </c:extLst>
            </c:dLbl>
            <c:dLbl>
              <c:idx val="4"/>
              <c:layout>
                <c:manualLayout>
                  <c:x val="-4.7553734784209038E-2"/>
                  <c:y val="-0.10780389876619718"/>
                </c:manualLayout>
              </c:layout>
              <c:tx>
                <c:rich>
                  <a:bodyPr/>
                  <a:lstStyle/>
                  <a:p>
                    <a:fld id="{9F486CA5-516D-4386-962F-E9C91189E9F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47E-4AE0-86F1-948071C5E8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far_summrary!$H$2:$H$6</c:f>
              <c:numCache>
                <c:formatCode>0.00%</c:formatCode>
                <c:ptCount val="5"/>
                <c:pt idx="0">
                  <c:v>8.3333333333333329E-2</c:v>
                </c:pt>
                <c:pt idx="1">
                  <c:v>0.23333333333333334</c:v>
                </c:pt>
                <c:pt idx="2">
                  <c:v>0.26666666666666666</c:v>
                </c:pt>
                <c:pt idx="3">
                  <c:v>0</c:v>
                </c:pt>
                <c:pt idx="4">
                  <c:v>0.05</c:v>
                </c:pt>
              </c:numCache>
            </c:numRef>
          </c:xVal>
          <c:yVal>
            <c:numRef>
              <c:f>far_summrary!$I$2:$I$6</c:f>
              <c:numCache>
                <c:formatCode>0.00%</c:formatCode>
                <c:ptCount val="5"/>
                <c:pt idx="0">
                  <c:v>9.9999999999999978E-2</c:v>
                </c:pt>
                <c:pt idx="1">
                  <c:v>0</c:v>
                </c:pt>
                <c:pt idx="2">
                  <c:v>0.41666666666666663</c:v>
                </c:pt>
                <c:pt idx="3">
                  <c:v>0.46666666666666667</c:v>
                </c:pt>
                <c:pt idx="4">
                  <c:v>9.9999999999999978E-2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far_summrary!$G$2:$G$6</c15:f>
                <c15:dlblRangeCache>
                  <c:ptCount val="5"/>
                  <c:pt idx="0">
                    <c:v>Keystroke</c:v>
                  </c:pt>
                  <c:pt idx="1">
                    <c:v>Graphical</c:v>
                  </c:pt>
                  <c:pt idx="2">
                    <c:v>Mouse</c:v>
                  </c:pt>
                  <c:pt idx="3">
                    <c:v>Strict 3-Gate</c:v>
                  </c:pt>
                  <c:pt idx="4">
                    <c:v>Weighted Rule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47E-4AE0-86F1-948071C5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169359"/>
        <c:axId val="1498174639"/>
      </c:scatterChart>
      <c:valAx>
        <c:axId val="14981693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FAR (security 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3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174639"/>
        <c:crosses val="autoZero"/>
        <c:crossBetween val="midCat"/>
        <c:majorUnit val="5.000000000000001E-2"/>
      </c:valAx>
      <c:valAx>
        <c:axId val="14981746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FRR (usability cost)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16935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Keystroke: TAR,FAR,TRR,FRR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far_summrary!$O$4</c:f>
              <c:strCache>
                <c:ptCount val="1"/>
                <c:pt idx="0">
                  <c:v>Keystroke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far_summrary!$P$3:$S$3</c:f>
              <c:strCache>
                <c:ptCount val="4"/>
                <c:pt idx="0">
                  <c:v>TAR</c:v>
                </c:pt>
                <c:pt idx="1">
                  <c:v>FAR</c:v>
                </c:pt>
                <c:pt idx="2">
                  <c:v>TRR</c:v>
                </c:pt>
                <c:pt idx="3">
                  <c:v>FRR</c:v>
                </c:pt>
              </c:strCache>
            </c:strRef>
          </c:cat>
          <c:val>
            <c:numRef>
              <c:f>far_summrary!$P$4:$S$4</c:f>
              <c:numCache>
                <c:formatCode>0.00%</c:formatCode>
                <c:ptCount val="4"/>
                <c:pt idx="0">
                  <c:v>0.9</c:v>
                </c:pt>
                <c:pt idx="1">
                  <c:v>8.3333333333333329E-2</c:v>
                </c:pt>
                <c:pt idx="2">
                  <c:v>0.91666666666666663</c:v>
                </c:pt>
                <c:pt idx="3">
                  <c:v>9.9999999999999978E-2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FCB-BAFD-349E1A32A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369568"/>
        <c:axId val="1485369088"/>
      </c:barChart>
      <c:catAx>
        <c:axId val="148536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Metric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69088"/>
        <c:crosses val="autoZero"/>
        <c:auto val="1"/>
        <c:lblAlgn val="ctr"/>
        <c:lblOffset val="100"/>
        <c:noMultiLvlLbl val="0"/>
      </c:catAx>
      <c:valAx>
        <c:axId val="148536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</a:t>
                </a:r>
                <a:r>
                  <a:rPr lang="en-GB" baseline="0"/>
                  <a:t> </a:t>
                </a:r>
                <a:r>
                  <a:rPr lang="en-GB"/>
                  <a:t>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69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Graphical</a:t>
            </a: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: TAR,FAR,TRR,FRR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far_summrary!$O$15</c:f>
              <c:strCache>
                <c:ptCount val="1"/>
                <c:pt idx="0">
                  <c:v>Graphical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far_summrary!$P$14:$S$14</c:f>
              <c:strCache>
                <c:ptCount val="4"/>
                <c:pt idx="0">
                  <c:v>TAR</c:v>
                </c:pt>
                <c:pt idx="1">
                  <c:v>FAR</c:v>
                </c:pt>
                <c:pt idx="2">
                  <c:v>TRR</c:v>
                </c:pt>
                <c:pt idx="3">
                  <c:v>FRR</c:v>
                </c:pt>
              </c:strCache>
            </c:strRef>
          </c:cat>
          <c:val>
            <c:numRef>
              <c:f>far_summrary!$P$15:$S$15</c:f>
              <c:numCache>
                <c:formatCode>0.00%</c:formatCode>
                <c:ptCount val="4"/>
                <c:pt idx="0">
                  <c:v>1</c:v>
                </c:pt>
                <c:pt idx="1">
                  <c:v>0.23333333333333334</c:v>
                </c:pt>
                <c:pt idx="2">
                  <c:v>0.76666666666666661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5-4124-8F41-757AF47EE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936416"/>
        <c:axId val="2003936896"/>
      </c:barChart>
      <c:catAx>
        <c:axId val="2003936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Metric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36896"/>
        <c:crosses val="autoZero"/>
        <c:auto val="1"/>
        <c:lblAlgn val="ctr"/>
        <c:lblOffset val="100"/>
        <c:noMultiLvlLbl val="0"/>
      </c:catAx>
      <c:valAx>
        <c:axId val="2003936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Rate 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36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Mouse</a:t>
            </a: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: TAR,FAR,TRR,FRR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far_summrary!$O$23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far_summrary!$P$22:$S$22</c:f>
              <c:strCache>
                <c:ptCount val="4"/>
                <c:pt idx="0">
                  <c:v>TAR</c:v>
                </c:pt>
                <c:pt idx="1">
                  <c:v>FAR</c:v>
                </c:pt>
                <c:pt idx="2">
                  <c:v>TRR</c:v>
                </c:pt>
                <c:pt idx="3">
                  <c:v>FRR</c:v>
                </c:pt>
              </c:strCache>
            </c:strRef>
          </c:cat>
          <c:val>
            <c:numRef>
              <c:f>far_summrary!$P$23:$S$23</c:f>
              <c:numCache>
                <c:formatCode>0.00%</c:formatCode>
                <c:ptCount val="4"/>
                <c:pt idx="0">
                  <c:v>0.58333333333333337</c:v>
                </c:pt>
                <c:pt idx="1">
                  <c:v>0.26666666666666666</c:v>
                </c:pt>
                <c:pt idx="2">
                  <c:v>0.73333333333333339</c:v>
                </c:pt>
                <c:pt idx="3">
                  <c:v>0.41666666666666663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7-4BBA-97A5-F3057707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108352"/>
        <c:axId val="2069116512"/>
      </c:barChart>
      <c:catAx>
        <c:axId val="206910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Metric 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116512"/>
        <c:crosses val="autoZero"/>
        <c:auto val="1"/>
        <c:lblAlgn val="ctr"/>
        <c:lblOffset val="100"/>
        <c:noMultiLvlLbl val="0"/>
      </c:catAx>
      <c:valAx>
        <c:axId val="20691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Rate 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108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Keystroke: Genuine vs Impostor Pass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summary_tables!$E$17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summary_tables!$F$16:$G$16</c:f>
              <c:strCache>
                <c:ptCount val="2"/>
                <c:pt idx="0">
                  <c:v>Genuine</c:v>
                </c:pt>
                <c:pt idx="1">
                  <c:v>Impostor</c:v>
                </c:pt>
              </c:strCache>
            </c:strRef>
          </c:cat>
          <c:val>
            <c:numRef>
              <c:f>summary_tables!$F$17:$G$17</c:f>
              <c:numCache>
                <c:formatCode>0.00%</c:formatCode>
                <c:ptCount val="2"/>
                <c:pt idx="0">
                  <c:v>0.9</c:v>
                </c:pt>
                <c:pt idx="1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E-4394-9698-CAB683EAE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333391"/>
        <c:axId val="2134330511"/>
      </c:barChart>
      <c:catAx>
        <c:axId val="213433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Attempt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30511"/>
        <c:crosses val="autoZero"/>
        <c:auto val="1"/>
        <c:lblAlgn val="ctr"/>
        <c:lblOffset val="100"/>
        <c:noMultiLvlLbl val="0"/>
      </c:catAx>
      <c:valAx>
        <c:axId val="213433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Pass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33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Graphical: Genuine vs Impostor Pass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summary_tables!$E$28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summary_tables!$F$16:$G$16</c:f>
              <c:strCache>
                <c:ptCount val="2"/>
                <c:pt idx="0">
                  <c:v>Genuine</c:v>
                </c:pt>
                <c:pt idx="1">
                  <c:v>Impostor</c:v>
                </c:pt>
              </c:strCache>
            </c:strRef>
          </c:cat>
          <c:val>
            <c:numRef>
              <c:f>summary_tables!$F$28:$G$28</c:f>
              <c:numCache>
                <c:formatCode>0.00%</c:formatCode>
                <c:ptCount val="2"/>
                <c:pt idx="0">
                  <c:v>1</c:v>
                </c:pt>
                <c:pt idx="1">
                  <c:v>0.23333333333333334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B-47FD-B515-DD6E48753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333391"/>
        <c:axId val="2134330511"/>
      </c:barChart>
      <c:catAx>
        <c:axId val="213433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Attempt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30511"/>
        <c:crosses val="autoZero"/>
        <c:auto val="1"/>
        <c:lblAlgn val="ctr"/>
        <c:lblOffset val="100"/>
        <c:noMultiLvlLbl val="0"/>
      </c:catAx>
      <c:valAx>
        <c:axId val="21343305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Pass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33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Mouse: Genuine vs Impostor Pass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summary_tables!$E$36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summary_tables!$F$16:$G$16</c:f>
              <c:strCache>
                <c:ptCount val="2"/>
                <c:pt idx="0">
                  <c:v>Genuine</c:v>
                </c:pt>
                <c:pt idx="1">
                  <c:v>Impostor</c:v>
                </c:pt>
              </c:strCache>
            </c:strRef>
          </c:cat>
          <c:val>
            <c:numRef>
              <c:f>summary_tables!$F$36:$G$36</c:f>
              <c:numCache>
                <c:formatCode>0.00%</c:formatCode>
                <c:ptCount val="2"/>
                <c:pt idx="0">
                  <c:v>0.58333333333333337</c:v>
                </c:pt>
                <c:pt idx="1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6-410F-83E5-40DDDB613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333391"/>
        <c:axId val="2134330511"/>
      </c:barChart>
      <c:catAx>
        <c:axId val="213433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Attempt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30511"/>
        <c:crosses val="autoZero"/>
        <c:auto val="1"/>
        <c:lblAlgn val="ctr"/>
        <c:lblOffset val="100"/>
        <c:noMultiLvlLbl val="0"/>
      </c:catAx>
      <c:valAx>
        <c:axId val="21343305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Pass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33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Multimodal Rule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summary_tables!$E$49</c:f>
              <c:strCache>
                <c:ptCount val="1"/>
                <c:pt idx="0">
                  <c:v>Strict 3-Gate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summary_tables!$F$16:$G$16</c:f>
              <c:strCache>
                <c:ptCount val="2"/>
                <c:pt idx="0">
                  <c:v>Genuine</c:v>
                </c:pt>
                <c:pt idx="1">
                  <c:v>Impostor</c:v>
                </c:pt>
              </c:strCache>
            </c:strRef>
          </c:cat>
          <c:val>
            <c:numRef>
              <c:f>summary_tables!$F$49:$G$49</c:f>
              <c:numCache>
                <c:formatCode>0.00%</c:formatCode>
                <c:ptCount val="2"/>
                <c:pt idx="0">
                  <c:v>0.53333333333333333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D-48E6-8965-664FA621B7BB}"/>
            </c:ext>
          </c:extLst>
        </c:ser>
        <c:ser>
          <c:idx val="1"/>
          <c:order val="1"/>
          <c:tx>
            <c:strRef>
              <c:f>summary_tables!$E$50</c:f>
              <c:strCache>
                <c:ptCount val="1"/>
                <c:pt idx="0">
                  <c:v>Weighted Rule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summary_tables!$F$16:$G$16</c:f>
              <c:strCache>
                <c:ptCount val="2"/>
                <c:pt idx="0">
                  <c:v>Genuine</c:v>
                </c:pt>
                <c:pt idx="1">
                  <c:v>Impostor</c:v>
                </c:pt>
              </c:strCache>
            </c:strRef>
          </c:cat>
          <c:val>
            <c:numRef>
              <c:f>summary_tables!$F$50:$G$50</c:f>
              <c:numCache>
                <c:formatCode>0.00%</c:formatCode>
                <c:ptCount val="2"/>
                <c:pt idx="0">
                  <c:v>0.9</c:v>
                </c:pt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D-48E6-8965-664FA621B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4333391"/>
        <c:axId val="2134330511"/>
      </c:barChart>
      <c:catAx>
        <c:axId val="213433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Strategy</a:t>
                </a:r>
                <a:r>
                  <a:rPr lang="en-GB" baseline="0"/>
                  <a:t> Used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30511"/>
        <c:crosses val="autoZero"/>
        <c:auto val="1"/>
        <c:lblAlgn val="ctr"/>
        <c:lblOffset val="100"/>
        <c:noMultiLvlLbl val="0"/>
      </c:catAx>
      <c:valAx>
        <c:axId val="213433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Pass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33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of Completion for Modality(s)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summary_tables!$F$54</c:f>
              <c:strCache>
                <c:ptCount val="1"/>
                <c:pt idx="0">
                  <c:v>Average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49-453B-917E-9F5F5CDE7A0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349-453B-917E-9F5F5CDE7A0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49-453B-917E-9F5F5CDE7A04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349-453B-917E-9F5F5CDE7A04}"/>
              </c:ext>
            </c:extLst>
          </c:dPt>
          <c:cat>
            <c:strRef>
              <c:f>summary_tables!$E$55:$E$58</c:f>
              <c:strCache>
                <c:ptCount val="4"/>
                <c:pt idx="0">
                  <c:v>Keystroke</c:v>
                </c:pt>
                <c:pt idx="1">
                  <c:v>Graphical</c:v>
                </c:pt>
                <c:pt idx="2">
                  <c:v>Mouse</c:v>
                </c:pt>
                <c:pt idx="3">
                  <c:v>Average Total Login Time</c:v>
                </c:pt>
              </c:strCache>
            </c:strRef>
          </c:cat>
          <c:val>
            <c:numRef>
              <c:f>summary_tables!$F$55:$F$58</c:f>
              <c:numCache>
                <c:formatCode>0.00</c:formatCode>
                <c:ptCount val="4"/>
                <c:pt idx="0">
                  <c:v>10.853333333333335</c:v>
                </c:pt>
                <c:pt idx="1">
                  <c:v>8.3774833333333323</c:v>
                </c:pt>
                <c:pt idx="2">
                  <c:v>4.9662166666666661</c:v>
                </c:pt>
                <c:pt idx="3">
                  <c:v>24.19703333333333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A-421F-B9BD-93E468BA2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835775"/>
        <c:axId val="1556836255"/>
      </c:barChart>
      <c:catAx>
        <c:axId val="155683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Modality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836255"/>
        <c:crosses val="autoZero"/>
        <c:auto val="1"/>
        <c:lblAlgn val="ctr"/>
        <c:lblOffset val="100"/>
        <c:noMultiLvlLbl val="0"/>
      </c:catAx>
      <c:valAx>
        <c:axId val="155683625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83577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PSSUQ Summary: Mean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summary_tables!$B$60</c:f>
              <c:strCache>
                <c:ptCount val="1"/>
                <c:pt idx="0">
                  <c:v>Mean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30-4B90-810C-0DB8265EBEF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30-4B90-810C-0DB8265EBEF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30-4B90-810C-0DB8265EBEF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30-4B90-810C-0DB8265EBEFA}"/>
              </c:ext>
            </c:extLst>
          </c:dPt>
          <c:cat>
            <c:strRef>
              <c:f>summary_tables!$A$61:$A$64</c:f>
              <c:strCache>
                <c:ptCount val="4"/>
                <c:pt idx="0">
                  <c:v>SYSUSE</c:v>
                </c:pt>
                <c:pt idx="1">
                  <c:v>INFOQUAL</c:v>
                </c:pt>
                <c:pt idx="2">
                  <c:v>INTERQUAL</c:v>
                </c:pt>
                <c:pt idx="3">
                  <c:v>Overall</c:v>
                </c:pt>
              </c:strCache>
            </c:strRef>
          </c:cat>
          <c:val>
            <c:numRef>
              <c:f>summary_tables!$B$61:$B$64</c:f>
              <c:numCache>
                <c:formatCode>0.000</c:formatCode>
                <c:ptCount val="4"/>
                <c:pt idx="0">
                  <c:v>2.5370370370370372</c:v>
                </c:pt>
                <c:pt idx="1">
                  <c:v>2.3148148148148149</c:v>
                </c:pt>
                <c:pt idx="2">
                  <c:v>2.0370370370370372</c:v>
                </c:pt>
                <c:pt idx="3">
                  <c:v>2.3310185185185182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30-4B90-810C-0DB8265EB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8115599"/>
        <c:axId val="1498112239"/>
      </c:barChart>
      <c:catAx>
        <c:axId val="149811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PSSUQ Questionaire Metric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112239"/>
        <c:crosses val="autoZero"/>
        <c:auto val="1"/>
        <c:lblAlgn val="ctr"/>
        <c:lblOffset val="100"/>
        <c:noMultiLvlLbl val="0"/>
      </c:catAx>
      <c:valAx>
        <c:axId val="149811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score for each section</a:t>
                </a:r>
              </a:p>
              <a:p>
                <a:pPr>
                  <a:defRPr/>
                </a:pPr>
                <a:r>
                  <a:rPr lang="en-GB"/>
                  <a:t> (lower = better)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11559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Mouse: Genuine Vs Impostor Avg_Z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mouse_2!$E$1</c:f>
              <c:strCache>
                <c:ptCount val="1"/>
                <c:pt idx="0">
                  <c:v>Genuine mouse_avg_z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mouse_2!$D$2:$D$61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mouse_2!$E$2:$E$61</c:f>
              <c:numCache>
                <c:formatCode>General</c:formatCode>
                <c:ptCount val="60"/>
                <c:pt idx="0">
                  <c:v>0.55900000000000005</c:v>
                </c:pt>
                <c:pt idx="1">
                  <c:v>0.67800000000000005</c:v>
                </c:pt>
                <c:pt idx="2">
                  <c:v>0.59699999999999998</c:v>
                </c:pt>
                <c:pt idx="3">
                  <c:v>0.61599999999999999</c:v>
                </c:pt>
                <c:pt idx="4">
                  <c:v>0.55800000000000005</c:v>
                </c:pt>
                <c:pt idx="5">
                  <c:v>0.65500000000000003</c:v>
                </c:pt>
                <c:pt idx="6">
                  <c:v>0.57699999999999996</c:v>
                </c:pt>
                <c:pt idx="7">
                  <c:v>0.53100000000000003</c:v>
                </c:pt>
                <c:pt idx="8">
                  <c:v>0.57199999999999995</c:v>
                </c:pt>
                <c:pt idx="9">
                  <c:v>0.70299999999999996</c:v>
                </c:pt>
                <c:pt idx="10">
                  <c:v>0.48</c:v>
                </c:pt>
                <c:pt idx="11">
                  <c:v>0.54200000000000004</c:v>
                </c:pt>
                <c:pt idx="12">
                  <c:v>0.94699999999999995</c:v>
                </c:pt>
                <c:pt idx="13">
                  <c:v>2.9129999999999998</c:v>
                </c:pt>
                <c:pt idx="14">
                  <c:v>1.569</c:v>
                </c:pt>
                <c:pt idx="15">
                  <c:v>1.087</c:v>
                </c:pt>
                <c:pt idx="16">
                  <c:v>0.752</c:v>
                </c:pt>
                <c:pt idx="17">
                  <c:v>1.204</c:v>
                </c:pt>
                <c:pt idx="18">
                  <c:v>1.262</c:v>
                </c:pt>
                <c:pt idx="19">
                  <c:v>0.88300000000000001</c:v>
                </c:pt>
                <c:pt idx="20">
                  <c:v>0.71499999999999997</c:v>
                </c:pt>
                <c:pt idx="21">
                  <c:v>0.65100000000000002</c:v>
                </c:pt>
                <c:pt idx="22">
                  <c:v>1.8069999999999999</c:v>
                </c:pt>
                <c:pt idx="23">
                  <c:v>1.5069999999999999</c:v>
                </c:pt>
                <c:pt idx="24">
                  <c:v>0.69499999999999995</c:v>
                </c:pt>
                <c:pt idx="25">
                  <c:v>1.036</c:v>
                </c:pt>
                <c:pt idx="26">
                  <c:v>1.8240000000000001</c:v>
                </c:pt>
                <c:pt idx="27">
                  <c:v>3.302</c:v>
                </c:pt>
                <c:pt idx="28">
                  <c:v>0.88700000000000001</c:v>
                </c:pt>
                <c:pt idx="29">
                  <c:v>1.248</c:v>
                </c:pt>
                <c:pt idx="30">
                  <c:v>0.60699999999999998</c:v>
                </c:pt>
                <c:pt idx="31">
                  <c:v>1.2010000000000001</c:v>
                </c:pt>
                <c:pt idx="32">
                  <c:v>2.452</c:v>
                </c:pt>
                <c:pt idx="33">
                  <c:v>1.821</c:v>
                </c:pt>
                <c:pt idx="34">
                  <c:v>1.2849999999999999</c:v>
                </c:pt>
                <c:pt idx="35">
                  <c:v>2.1469999999999998</c:v>
                </c:pt>
                <c:pt idx="36">
                  <c:v>1.272</c:v>
                </c:pt>
                <c:pt idx="37">
                  <c:v>0.495</c:v>
                </c:pt>
                <c:pt idx="38">
                  <c:v>1.056</c:v>
                </c:pt>
                <c:pt idx="39">
                  <c:v>1.5820000000000001</c:v>
                </c:pt>
                <c:pt idx="40">
                  <c:v>2.7530000000000001</c:v>
                </c:pt>
                <c:pt idx="41">
                  <c:v>1.996</c:v>
                </c:pt>
                <c:pt idx="42">
                  <c:v>0.38600000000000001</c:v>
                </c:pt>
                <c:pt idx="43">
                  <c:v>1.256</c:v>
                </c:pt>
                <c:pt idx="44">
                  <c:v>0.76200000000000001</c:v>
                </c:pt>
                <c:pt idx="45">
                  <c:v>0.64900000000000002</c:v>
                </c:pt>
                <c:pt idx="46">
                  <c:v>0.371</c:v>
                </c:pt>
                <c:pt idx="47">
                  <c:v>0.66600000000000004</c:v>
                </c:pt>
                <c:pt idx="48">
                  <c:v>0.66600000000000004</c:v>
                </c:pt>
                <c:pt idx="49">
                  <c:v>0.52300000000000002</c:v>
                </c:pt>
                <c:pt idx="50">
                  <c:v>0.86699999999999999</c:v>
                </c:pt>
                <c:pt idx="51">
                  <c:v>0.69699999999999995</c:v>
                </c:pt>
                <c:pt idx="52">
                  <c:v>0.754</c:v>
                </c:pt>
                <c:pt idx="53">
                  <c:v>0.77500000000000002</c:v>
                </c:pt>
                <c:pt idx="54">
                  <c:v>1.151</c:v>
                </c:pt>
                <c:pt idx="55">
                  <c:v>0.77500000000000002</c:v>
                </c:pt>
                <c:pt idx="56">
                  <c:v>0.77100000000000002</c:v>
                </c:pt>
                <c:pt idx="57">
                  <c:v>0.86699999999999999</c:v>
                </c:pt>
                <c:pt idx="58">
                  <c:v>0.76300000000000001</c:v>
                </c:pt>
                <c:pt idx="59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2-4E93-81EC-7E48116058D8}"/>
            </c:ext>
          </c:extLst>
        </c:ser>
        <c:ser>
          <c:idx val="1"/>
          <c:order val="1"/>
          <c:tx>
            <c:strRef>
              <c:f>mouse_2!$F$1</c:f>
              <c:strCache>
                <c:ptCount val="1"/>
                <c:pt idx="0">
                  <c:v>Impostor mouse_avg_z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mouse_2!$D$2:$D$61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mouse_2!$F$2:$F$61</c:f>
              <c:numCache>
                <c:formatCode>General</c:formatCode>
                <c:ptCount val="60"/>
                <c:pt idx="0">
                  <c:v>0.41199999999999998</c:v>
                </c:pt>
                <c:pt idx="1">
                  <c:v>0.68200000000000005</c:v>
                </c:pt>
                <c:pt idx="2">
                  <c:v>0.77300000000000002</c:v>
                </c:pt>
                <c:pt idx="3">
                  <c:v>0.28999999999999998</c:v>
                </c:pt>
                <c:pt idx="4">
                  <c:v>0.504</c:v>
                </c:pt>
                <c:pt idx="5">
                  <c:v>0.38200000000000001</c:v>
                </c:pt>
                <c:pt idx="6">
                  <c:v>0.86199999999999999</c:v>
                </c:pt>
                <c:pt idx="7">
                  <c:v>0.85099999999999998</c:v>
                </c:pt>
                <c:pt idx="8">
                  <c:v>1.1000000000000001</c:v>
                </c:pt>
                <c:pt idx="9">
                  <c:v>1.1879999999999999</c:v>
                </c:pt>
                <c:pt idx="10">
                  <c:v>3.2879999999999998</c:v>
                </c:pt>
                <c:pt idx="11">
                  <c:v>4.3259999999999996</c:v>
                </c:pt>
                <c:pt idx="12">
                  <c:v>1.3080000000000001</c:v>
                </c:pt>
                <c:pt idx="13">
                  <c:v>1.9950000000000001</c:v>
                </c:pt>
                <c:pt idx="14">
                  <c:v>1.17</c:v>
                </c:pt>
                <c:pt idx="15">
                  <c:v>1.3080000000000001</c:v>
                </c:pt>
                <c:pt idx="16">
                  <c:v>3.3879999999999999</c:v>
                </c:pt>
                <c:pt idx="17">
                  <c:v>3.2879999999999998</c:v>
                </c:pt>
                <c:pt idx="18">
                  <c:v>4.6360000000000001</c:v>
                </c:pt>
                <c:pt idx="19">
                  <c:v>3.101</c:v>
                </c:pt>
                <c:pt idx="20">
                  <c:v>4.7309999999999999</c:v>
                </c:pt>
                <c:pt idx="21">
                  <c:v>0.93100000000000005</c:v>
                </c:pt>
                <c:pt idx="22">
                  <c:v>3.6960000000000002</c:v>
                </c:pt>
                <c:pt idx="23">
                  <c:v>4.7309999999999999</c:v>
                </c:pt>
                <c:pt idx="24">
                  <c:v>0.93100000000000005</c:v>
                </c:pt>
                <c:pt idx="25">
                  <c:v>1.857</c:v>
                </c:pt>
                <c:pt idx="26">
                  <c:v>1.9279999999999999</c:v>
                </c:pt>
                <c:pt idx="27">
                  <c:v>0.93100000000000005</c:v>
                </c:pt>
                <c:pt idx="28">
                  <c:v>1.857</c:v>
                </c:pt>
                <c:pt idx="29">
                  <c:v>1.9279999999999999</c:v>
                </c:pt>
                <c:pt idx="30">
                  <c:v>4.242</c:v>
                </c:pt>
                <c:pt idx="31">
                  <c:v>1.7849999999999999</c:v>
                </c:pt>
                <c:pt idx="32">
                  <c:v>2.5459999999999998</c:v>
                </c:pt>
                <c:pt idx="33">
                  <c:v>2.1280000000000001</c:v>
                </c:pt>
                <c:pt idx="34">
                  <c:v>2.5169999999999999</c:v>
                </c:pt>
                <c:pt idx="35">
                  <c:v>3.4529999999999998</c:v>
                </c:pt>
                <c:pt idx="36">
                  <c:v>3.6970000000000001</c:v>
                </c:pt>
                <c:pt idx="37">
                  <c:v>2.9369999999999998</c:v>
                </c:pt>
                <c:pt idx="38">
                  <c:v>2.669</c:v>
                </c:pt>
                <c:pt idx="39">
                  <c:v>2.883</c:v>
                </c:pt>
                <c:pt idx="40">
                  <c:v>3.5339999999999998</c:v>
                </c:pt>
                <c:pt idx="41">
                  <c:v>3.7669999999999999</c:v>
                </c:pt>
                <c:pt idx="42">
                  <c:v>3.6469999999999998</c:v>
                </c:pt>
                <c:pt idx="43">
                  <c:v>3.2440000000000002</c:v>
                </c:pt>
                <c:pt idx="44">
                  <c:v>3.6480000000000001</c:v>
                </c:pt>
                <c:pt idx="45">
                  <c:v>3.1960000000000002</c:v>
                </c:pt>
                <c:pt idx="46">
                  <c:v>2.4220000000000002</c:v>
                </c:pt>
                <c:pt idx="47">
                  <c:v>2.3530000000000002</c:v>
                </c:pt>
                <c:pt idx="48">
                  <c:v>1.53</c:v>
                </c:pt>
                <c:pt idx="49">
                  <c:v>3.3660000000000001</c:v>
                </c:pt>
                <c:pt idx="50">
                  <c:v>1.1990000000000001</c:v>
                </c:pt>
                <c:pt idx="51">
                  <c:v>1.1990000000000001</c:v>
                </c:pt>
                <c:pt idx="52">
                  <c:v>0.76</c:v>
                </c:pt>
                <c:pt idx="53">
                  <c:v>0.82099999999999995</c:v>
                </c:pt>
                <c:pt idx="54">
                  <c:v>0.88500000000000001</c:v>
                </c:pt>
                <c:pt idx="55">
                  <c:v>0.27300000000000002</c:v>
                </c:pt>
                <c:pt idx="56">
                  <c:v>1.2130000000000001</c:v>
                </c:pt>
                <c:pt idx="57">
                  <c:v>0.83599999999999997</c:v>
                </c:pt>
                <c:pt idx="58">
                  <c:v>1.0009999999999999</c:v>
                </c:pt>
                <c:pt idx="59">
                  <c:v>1.375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92-4E93-81EC-7E4811605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251039"/>
        <c:axId val="510245279"/>
      </c:scatterChart>
      <c:valAx>
        <c:axId val="51025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3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45279"/>
        <c:crosses val="autoZero"/>
        <c:crossBetween val="midCat"/>
        <c:majorUnit val="0.1"/>
      </c:valAx>
      <c:valAx>
        <c:axId val="5102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5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Mouse: Genuine Vs Impostor Max_Z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mouse_2!$I$1</c:f>
              <c:strCache>
                <c:ptCount val="1"/>
                <c:pt idx="0">
                  <c:v>Genuine mouse_max_z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mouse_2!$H$2:$H$61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mouse_2!$I$2:$I$61</c:f>
              <c:numCache>
                <c:formatCode>General</c:formatCode>
                <c:ptCount val="60"/>
                <c:pt idx="0">
                  <c:v>0.94499999999999995</c:v>
                </c:pt>
                <c:pt idx="1">
                  <c:v>0.98799999999999999</c:v>
                </c:pt>
                <c:pt idx="2">
                  <c:v>1.056</c:v>
                </c:pt>
                <c:pt idx="3">
                  <c:v>1.0209999999999999</c:v>
                </c:pt>
                <c:pt idx="4">
                  <c:v>1.006</c:v>
                </c:pt>
                <c:pt idx="5">
                  <c:v>1.0089999999999999</c:v>
                </c:pt>
                <c:pt idx="6">
                  <c:v>1.022</c:v>
                </c:pt>
                <c:pt idx="7">
                  <c:v>1.016</c:v>
                </c:pt>
                <c:pt idx="8">
                  <c:v>0.93799999999999994</c:v>
                </c:pt>
                <c:pt idx="9">
                  <c:v>0.999</c:v>
                </c:pt>
                <c:pt idx="10">
                  <c:v>0.79500000000000004</c:v>
                </c:pt>
                <c:pt idx="11">
                  <c:v>1.181</c:v>
                </c:pt>
                <c:pt idx="12">
                  <c:v>1.4510000000000001</c:v>
                </c:pt>
                <c:pt idx="13">
                  <c:v>4.5730000000000004</c:v>
                </c:pt>
                <c:pt idx="14">
                  <c:v>3.1419999999999999</c:v>
                </c:pt>
                <c:pt idx="15">
                  <c:v>2.569</c:v>
                </c:pt>
                <c:pt idx="16">
                  <c:v>2.2250000000000001</c:v>
                </c:pt>
                <c:pt idx="17">
                  <c:v>3.2650000000000001</c:v>
                </c:pt>
                <c:pt idx="18">
                  <c:v>2.121</c:v>
                </c:pt>
                <c:pt idx="19">
                  <c:v>1.931</c:v>
                </c:pt>
                <c:pt idx="20">
                  <c:v>1.42</c:v>
                </c:pt>
                <c:pt idx="21">
                  <c:v>1.4790000000000001</c:v>
                </c:pt>
                <c:pt idx="22">
                  <c:v>2.8490000000000002</c:v>
                </c:pt>
                <c:pt idx="23">
                  <c:v>2.9260000000000002</c:v>
                </c:pt>
                <c:pt idx="24">
                  <c:v>1.667</c:v>
                </c:pt>
                <c:pt idx="25">
                  <c:v>2.2669999999999999</c:v>
                </c:pt>
                <c:pt idx="26">
                  <c:v>3.347</c:v>
                </c:pt>
                <c:pt idx="27">
                  <c:v>4.3330000000000002</c:v>
                </c:pt>
                <c:pt idx="28">
                  <c:v>2.548</c:v>
                </c:pt>
                <c:pt idx="29">
                  <c:v>3.06</c:v>
                </c:pt>
                <c:pt idx="30">
                  <c:v>0.97199999999999998</c:v>
                </c:pt>
                <c:pt idx="31">
                  <c:v>2.1720000000000002</c:v>
                </c:pt>
                <c:pt idx="32">
                  <c:v>4.5170000000000003</c:v>
                </c:pt>
                <c:pt idx="33">
                  <c:v>3.161</c:v>
                </c:pt>
                <c:pt idx="34">
                  <c:v>1.9419999999999999</c:v>
                </c:pt>
                <c:pt idx="35">
                  <c:v>4.7750000000000004</c:v>
                </c:pt>
                <c:pt idx="36">
                  <c:v>2.75</c:v>
                </c:pt>
                <c:pt idx="37">
                  <c:v>0.93600000000000005</c:v>
                </c:pt>
                <c:pt idx="38">
                  <c:v>1.603</c:v>
                </c:pt>
                <c:pt idx="39">
                  <c:v>3.31</c:v>
                </c:pt>
                <c:pt idx="40">
                  <c:v>3.7549999999999999</c:v>
                </c:pt>
                <c:pt idx="41">
                  <c:v>3.0150000000000001</c:v>
                </c:pt>
                <c:pt idx="42">
                  <c:v>0.71799999999999997</c:v>
                </c:pt>
                <c:pt idx="43">
                  <c:v>1.7450000000000001</c:v>
                </c:pt>
                <c:pt idx="44">
                  <c:v>1.329</c:v>
                </c:pt>
                <c:pt idx="45">
                  <c:v>0.86399999999999999</c:v>
                </c:pt>
                <c:pt idx="46">
                  <c:v>0.68500000000000005</c:v>
                </c:pt>
                <c:pt idx="47">
                  <c:v>1.264</c:v>
                </c:pt>
                <c:pt idx="48">
                  <c:v>1.264</c:v>
                </c:pt>
                <c:pt idx="49">
                  <c:v>1.1040000000000001</c:v>
                </c:pt>
                <c:pt idx="50">
                  <c:v>1.61</c:v>
                </c:pt>
                <c:pt idx="51">
                  <c:v>1.3540000000000001</c:v>
                </c:pt>
                <c:pt idx="52">
                  <c:v>1.26</c:v>
                </c:pt>
                <c:pt idx="53">
                  <c:v>1.3049999999999999</c:v>
                </c:pt>
                <c:pt idx="54">
                  <c:v>2.375</c:v>
                </c:pt>
                <c:pt idx="55">
                  <c:v>1.381</c:v>
                </c:pt>
                <c:pt idx="56">
                  <c:v>1.069</c:v>
                </c:pt>
                <c:pt idx="57">
                  <c:v>1.61</c:v>
                </c:pt>
                <c:pt idx="58">
                  <c:v>1.272</c:v>
                </c:pt>
                <c:pt idx="59">
                  <c:v>1.236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16-47DF-890F-740BEDE7A828}"/>
            </c:ext>
          </c:extLst>
        </c:ser>
        <c:ser>
          <c:idx val="1"/>
          <c:order val="1"/>
          <c:tx>
            <c:strRef>
              <c:f>mouse_2!$J$1</c:f>
              <c:strCache>
                <c:ptCount val="1"/>
                <c:pt idx="0">
                  <c:v>Impostor mouse_max_z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mouse_2!$H$2:$H$61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mouse_2!$J$2:$J$61</c:f>
              <c:numCache>
                <c:formatCode>General</c:formatCode>
                <c:ptCount val="60"/>
                <c:pt idx="0">
                  <c:v>0.68700000000000006</c:v>
                </c:pt>
                <c:pt idx="1">
                  <c:v>0.97699999999999998</c:v>
                </c:pt>
                <c:pt idx="2">
                  <c:v>1.1539999999999999</c:v>
                </c:pt>
                <c:pt idx="3">
                  <c:v>0.67200000000000004</c:v>
                </c:pt>
                <c:pt idx="4">
                  <c:v>0.90200000000000002</c:v>
                </c:pt>
                <c:pt idx="5">
                  <c:v>0.73099999999999998</c:v>
                </c:pt>
                <c:pt idx="6">
                  <c:v>2.1659999999999999</c:v>
                </c:pt>
                <c:pt idx="7">
                  <c:v>1.738</c:v>
                </c:pt>
                <c:pt idx="8">
                  <c:v>2.4910000000000001</c:v>
                </c:pt>
                <c:pt idx="9">
                  <c:v>2.5059999999999998</c:v>
                </c:pt>
                <c:pt idx="10">
                  <c:v>7.0359999999999996</c:v>
                </c:pt>
                <c:pt idx="11">
                  <c:v>7.78</c:v>
                </c:pt>
                <c:pt idx="12">
                  <c:v>1.716</c:v>
                </c:pt>
                <c:pt idx="13">
                  <c:v>3.7759999999999998</c:v>
                </c:pt>
                <c:pt idx="14">
                  <c:v>2.3130000000000002</c:v>
                </c:pt>
                <c:pt idx="15">
                  <c:v>1.716</c:v>
                </c:pt>
                <c:pt idx="16">
                  <c:v>6.1609999999999996</c:v>
                </c:pt>
                <c:pt idx="17">
                  <c:v>7.0359999999999996</c:v>
                </c:pt>
                <c:pt idx="18">
                  <c:v>8.173</c:v>
                </c:pt>
                <c:pt idx="19">
                  <c:v>8.7750000000000004</c:v>
                </c:pt>
                <c:pt idx="20">
                  <c:v>6.2249999999999996</c:v>
                </c:pt>
                <c:pt idx="21">
                  <c:v>1.702</c:v>
                </c:pt>
                <c:pt idx="22">
                  <c:v>4.851</c:v>
                </c:pt>
                <c:pt idx="23">
                  <c:v>6.2249999999999996</c:v>
                </c:pt>
                <c:pt idx="24">
                  <c:v>1.702</c:v>
                </c:pt>
                <c:pt idx="25">
                  <c:v>4.8650000000000002</c:v>
                </c:pt>
                <c:pt idx="26">
                  <c:v>2.86</c:v>
                </c:pt>
                <c:pt idx="27">
                  <c:v>1.702</c:v>
                </c:pt>
                <c:pt idx="28">
                  <c:v>4.8650000000000002</c:v>
                </c:pt>
                <c:pt idx="29">
                  <c:v>2.86</c:v>
                </c:pt>
                <c:pt idx="30">
                  <c:v>8.07</c:v>
                </c:pt>
                <c:pt idx="31">
                  <c:v>4.2389999999999999</c:v>
                </c:pt>
                <c:pt idx="32">
                  <c:v>3.9820000000000002</c:v>
                </c:pt>
                <c:pt idx="33">
                  <c:v>3.8610000000000002</c:v>
                </c:pt>
                <c:pt idx="34">
                  <c:v>4.6769999999999996</c:v>
                </c:pt>
                <c:pt idx="35">
                  <c:v>6.6609999999999996</c:v>
                </c:pt>
                <c:pt idx="36">
                  <c:v>6.0839999999999996</c:v>
                </c:pt>
                <c:pt idx="37">
                  <c:v>6.1829999999999998</c:v>
                </c:pt>
                <c:pt idx="38">
                  <c:v>4.5339999999999998</c:v>
                </c:pt>
                <c:pt idx="39">
                  <c:v>5.0309999999999997</c:v>
                </c:pt>
                <c:pt idx="40">
                  <c:v>4.1849999999999996</c:v>
                </c:pt>
                <c:pt idx="41">
                  <c:v>5.8179999999999996</c:v>
                </c:pt>
                <c:pt idx="42">
                  <c:v>5.6319999999999997</c:v>
                </c:pt>
                <c:pt idx="43">
                  <c:v>4.976</c:v>
                </c:pt>
                <c:pt idx="44">
                  <c:v>4.9089999999999998</c:v>
                </c:pt>
                <c:pt idx="45">
                  <c:v>4.1059999999999999</c:v>
                </c:pt>
                <c:pt idx="46">
                  <c:v>3.18</c:v>
                </c:pt>
                <c:pt idx="47">
                  <c:v>3.4889999999999999</c:v>
                </c:pt>
                <c:pt idx="48">
                  <c:v>1.7669999999999999</c:v>
                </c:pt>
                <c:pt idx="49">
                  <c:v>4.7089999999999996</c:v>
                </c:pt>
                <c:pt idx="50">
                  <c:v>2.1520000000000001</c:v>
                </c:pt>
                <c:pt idx="51">
                  <c:v>2.1520000000000001</c:v>
                </c:pt>
                <c:pt idx="52">
                  <c:v>1.1439999999999999</c:v>
                </c:pt>
                <c:pt idx="53">
                  <c:v>1.3340000000000001</c:v>
                </c:pt>
                <c:pt idx="54">
                  <c:v>1.556</c:v>
                </c:pt>
                <c:pt idx="55">
                  <c:v>0.53500000000000003</c:v>
                </c:pt>
                <c:pt idx="56">
                  <c:v>2.0539999999999998</c:v>
                </c:pt>
                <c:pt idx="57">
                  <c:v>1.794</c:v>
                </c:pt>
                <c:pt idx="58">
                  <c:v>1.7130000000000001</c:v>
                </c:pt>
                <c:pt idx="59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16-47DF-890F-740BEDE7A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925503"/>
        <c:axId val="582926463"/>
      </c:scatterChart>
      <c:valAx>
        <c:axId val="5829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3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26463"/>
        <c:crosses val="autoZero"/>
        <c:crossBetween val="midCat"/>
        <c:majorUnit val="0.1"/>
      </c:valAx>
      <c:valAx>
        <c:axId val="58292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25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Mouse: Genuine &amp; Impostor Average Z, Max Z Values with Thresholds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mouse_2!$N$1</c:f>
              <c:strCache>
                <c:ptCount val="1"/>
                <c:pt idx="0">
                  <c:v>Genuine mouse_avg_z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FF3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mouse_2!$M$2:$M$61</c:f>
              <c:numCache>
                <c:formatCode>0.000</c:formatCode>
                <c:ptCount val="60"/>
                <c:pt idx="0">
                  <c:v>0.01</c:v>
                </c:pt>
                <c:pt idx="1">
                  <c:v>6.0000000000000005E-2</c:v>
                </c:pt>
                <c:pt idx="2">
                  <c:v>0.11000000000000001</c:v>
                </c:pt>
                <c:pt idx="3">
                  <c:v>0.16000000000000003</c:v>
                </c:pt>
                <c:pt idx="4">
                  <c:v>0.21000000000000002</c:v>
                </c:pt>
                <c:pt idx="5">
                  <c:v>0.26</c:v>
                </c:pt>
                <c:pt idx="6">
                  <c:v>0.31</c:v>
                </c:pt>
                <c:pt idx="7">
                  <c:v>0.36</c:v>
                </c:pt>
                <c:pt idx="8">
                  <c:v>0.41</c:v>
                </c:pt>
                <c:pt idx="9">
                  <c:v>0.45999999999999996</c:v>
                </c:pt>
                <c:pt idx="10">
                  <c:v>0.51</c:v>
                </c:pt>
                <c:pt idx="11">
                  <c:v>0.56000000000000005</c:v>
                </c:pt>
                <c:pt idx="12">
                  <c:v>0.6100000000000001</c:v>
                </c:pt>
                <c:pt idx="13">
                  <c:v>0.66000000000000014</c:v>
                </c:pt>
                <c:pt idx="14">
                  <c:v>0.71000000000000019</c:v>
                </c:pt>
                <c:pt idx="15">
                  <c:v>0.76000000000000023</c:v>
                </c:pt>
                <c:pt idx="16">
                  <c:v>0.81000000000000028</c:v>
                </c:pt>
                <c:pt idx="17">
                  <c:v>0.86000000000000032</c:v>
                </c:pt>
                <c:pt idx="18">
                  <c:v>0.91000000000000036</c:v>
                </c:pt>
                <c:pt idx="19">
                  <c:v>0.96000000000000041</c:v>
                </c:pt>
                <c:pt idx="20">
                  <c:v>1.0100000000000005</c:v>
                </c:pt>
                <c:pt idx="21">
                  <c:v>1.0600000000000005</c:v>
                </c:pt>
                <c:pt idx="22">
                  <c:v>1.1100000000000005</c:v>
                </c:pt>
                <c:pt idx="23">
                  <c:v>1.1600000000000006</c:v>
                </c:pt>
                <c:pt idx="24">
                  <c:v>1.2100000000000006</c:v>
                </c:pt>
                <c:pt idx="25">
                  <c:v>1.2600000000000007</c:v>
                </c:pt>
                <c:pt idx="26">
                  <c:v>1.3100000000000007</c:v>
                </c:pt>
                <c:pt idx="27">
                  <c:v>1.3600000000000008</c:v>
                </c:pt>
                <c:pt idx="28">
                  <c:v>1.4100000000000008</c:v>
                </c:pt>
                <c:pt idx="29">
                  <c:v>1.4600000000000009</c:v>
                </c:pt>
                <c:pt idx="30">
                  <c:v>1.5100000000000009</c:v>
                </c:pt>
                <c:pt idx="31">
                  <c:v>1.5600000000000009</c:v>
                </c:pt>
                <c:pt idx="32">
                  <c:v>1.610000000000001</c:v>
                </c:pt>
                <c:pt idx="33">
                  <c:v>1.660000000000001</c:v>
                </c:pt>
                <c:pt idx="34">
                  <c:v>1.7100000000000011</c:v>
                </c:pt>
                <c:pt idx="35">
                  <c:v>1.7600000000000011</c:v>
                </c:pt>
                <c:pt idx="36">
                  <c:v>1.8100000000000012</c:v>
                </c:pt>
                <c:pt idx="37">
                  <c:v>1.8600000000000012</c:v>
                </c:pt>
                <c:pt idx="38">
                  <c:v>1.9100000000000013</c:v>
                </c:pt>
                <c:pt idx="39">
                  <c:v>1.9600000000000013</c:v>
                </c:pt>
                <c:pt idx="40">
                  <c:v>2.0100000000000011</c:v>
                </c:pt>
                <c:pt idx="41">
                  <c:v>2.0600000000000009</c:v>
                </c:pt>
                <c:pt idx="42">
                  <c:v>2.1100000000000008</c:v>
                </c:pt>
                <c:pt idx="43">
                  <c:v>2.1600000000000006</c:v>
                </c:pt>
                <c:pt idx="44">
                  <c:v>2.2100000000000004</c:v>
                </c:pt>
                <c:pt idx="45">
                  <c:v>2.2600000000000002</c:v>
                </c:pt>
                <c:pt idx="46">
                  <c:v>2.31</c:v>
                </c:pt>
                <c:pt idx="47">
                  <c:v>2.36</c:v>
                </c:pt>
                <c:pt idx="48">
                  <c:v>2.4099999999999997</c:v>
                </c:pt>
                <c:pt idx="49">
                  <c:v>2.4599999999999995</c:v>
                </c:pt>
                <c:pt idx="50">
                  <c:v>2.5099999999999993</c:v>
                </c:pt>
                <c:pt idx="51">
                  <c:v>2.5599999999999992</c:v>
                </c:pt>
                <c:pt idx="52">
                  <c:v>2.609999999999999</c:v>
                </c:pt>
                <c:pt idx="53">
                  <c:v>2.6599999999999988</c:v>
                </c:pt>
                <c:pt idx="54">
                  <c:v>2.7099999999999986</c:v>
                </c:pt>
                <c:pt idx="55">
                  <c:v>2.7599999999999985</c:v>
                </c:pt>
                <c:pt idx="56">
                  <c:v>2.8099999999999983</c:v>
                </c:pt>
                <c:pt idx="57">
                  <c:v>2.8599999999999981</c:v>
                </c:pt>
                <c:pt idx="58">
                  <c:v>2.9099999999999979</c:v>
                </c:pt>
                <c:pt idx="59">
                  <c:v>2.9599999999999977</c:v>
                </c:pt>
              </c:numCache>
            </c:numRef>
          </c:xVal>
          <c:yVal>
            <c:numRef>
              <c:f>mouse_2!$N$2:$N$61</c:f>
              <c:numCache>
                <c:formatCode>General</c:formatCode>
                <c:ptCount val="60"/>
                <c:pt idx="0">
                  <c:v>0.55900000000000005</c:v>
                </c:pt>
                <c:pt idx="1">
                  <c:v>0.67800000000000005</c:v>
                </c:pt>
                <c:pt idx="2">
                  <c:v>0.59699999999999998</c:v>
                </c:pt>
                <c:pt idx="3">
                  <c:v>0.61599999999999999</c:v>
                </c:pt>
                <c:pt idx="4">
                  <c:v>0.55800000000000005</c:v>
                </c:pt>
                <c:pt idx="5">
                  <c:v>0.65500000000000003</c:v>
                </c:pt>
                <c:pt idx="6">
                  <c:v>0.57699999999999996</c:v>
                </c:pt>
                <c:pt idx="7">
                  <c:v>0.53100000000000003</c:v>
                </c:pt>
                <c:pt idx="8">
                  <c:v>0.57199999999999995</c:v>
                </c:pt>
                <c:pt idx="9">
                  <c:v>0.70299999999999996</c:v>
                </c:pt>
                <c:pt idx="10">
                  <c:v>0.48</c:v>
                </c:pt>
                <c:pt idx="11">
                  <c:v>0.54200000000000004</c:v>
                </c:pt>
                <c:pt idx="12">
                  <c:v>0.94699999999999995</c:v>
                </c:pt>
                <c:pt idx="13">
                  <c:v>2.9129999999999998</c:v>
                </c:pt>
                <c:pt idx="14">
                  <c:v>1.569</c:v>
                </c:pt>
                <c:pt idx="15">
                  <c:v>1.087</c:v>
                </c:pt>
                <c:pt idx="16">
                  <c:v>0.752</c:v>
                </c:pt>
                <c:pt idx="17">
                  <c:v>1.204</c:v>
                </c:pt>
                <c:pt idx="18">
                  <c:v>1.262</c:v>
                </c:pt>
                <c:pt idx="19">
                  <c:v>0.88300000000000001</c:v>
                </c:pt>
                <c:pt idx="20">
                  <c:v>0.71499999999999997</c:v>
                </c:pt>
                <c:pt idx="21">
                  <c:v>0.65100000000000002</c:v>
                </c:pt>
                <c:pt idx="22">
                  <c:v>1.8069999999999999</c:v>
                </c:pt>
                <c:pt idx="23">
                  <c:v>1.5069999999999999</c:v>
                </c:pt>
                <c:pt idx="24">
                  <c:v>0.69499999999999995</c:v>
                </c:pt>
                <c:pt idx="25">
                  <c:v>1.036</c:v>
                </c:pt>
                <c:pt idx="26">
                  <c:v>1.8240000000000001</c:v>
                </c:pt>
                <c:pt idx="27">
                  <c:v>3.302</c:v>
                </c:pt>
                <c:pt idx="28">
                  <c:v>0.88700000000000001</c:v>
                </c:pt>
                <c:pt idx="29">
                  <c:v>1.248</c:v>
                </c:pt>
                <c:pt idx="30">
                  <c:v>0.60699999999999998</c:v>
                </c:pt>
                <c:pt idx="31">
                  <c:v>1.2010000000000001</c:v>
                </c:pt>
                <c:pt idx="32">
                  <c:v>2.452</c:v>
                </c:pt>
                <c:pt idx="33">
                  <c:v>1.821</c:v>
                </c:pt>
                <c:pt idx="34">
                  <c:v>1.2849999999999999</c:v>
                </c:pt>
                <c:pt idx="35">
                  <c:v>2.1469999999999998</c:v>
                </c:pt>
                <c:pt idx="36">
                  <c:v>1.272</c:v>
                </c:pt>
                <c:pt idx="37">
                  <c:v>0.495</c:v>
                </c:pt>
                <c:pt idx="38">
                  <c:v>1.056</c:v>
                </c:pt>
                <c:pt idx="39">
                  <c:v>1.5820000000000001</c:v>
                </c:pt>
                <c:pt idx="40">
                  <c:v>2.7530000000000001</c:v>
                </c:pt>
                <c:pt idx="41">
                  <c:v>1.996</c:v>
                </c:pt>
                <c:pt idx="42">
                  <c:v>0.38600000000000001</c:v>
                </c:pt>
                <c:pt idx="43">
                  <c:v>1.256</c:v>
                </c:pt>
                <c:pt idx="44">
                  <c:v>0.76200000000000001</c:v>
                </c:pt>
                <c:pt idx="45">
                  <c:v>0.64900000000000002</c:v>
                </c:pt>
                <c:pt idx="46">
                  <c:v>0.371</c:v>
                </c:pt>
                <c:pt idx="47">
                  <c:v>0.66600000000000004</c:v>
                </c:pt>
                <c:pt idx="48">
                  <c:v>0.66600000000000004</c:v>
                </c:pt>
                <c:pt idx="49">
                  <c:v>0.52300000000000002</c:v>
                </c:pt>
                <c:pt idx="50">
                  <c:v>0.86699999999999999</c:v>
                </c:pt>
                <c:pt idx="51">
                  <c:v>0.69699999999999995</c:v>
                </c:pt>
                <c:pt idx="52">
                  <c:v>0.754</c:v>
                </c:pt>
                <c:pt idx="53">
                  <c:v>0.77500000000000002</c:v>
                </c:pt>
                <c:pt idx="54">
                  <c:v>1.151</c:v>
                </c:pt>
                <c:pt idx="55">
                  <c:v>0.77500000000000002</c:v>
                </c:pt>
                <c:pt idx="56">
                  <c:v>0.77100000000000002</c:v>
                </c:pt>
                <c:pt idx="57">
                  <c:v>0.86699999999999999</c:v>
                </c:pt>
                <c:pt idx="58">
                  <c:v>0.76300000000000001</c:v>
                </c:pt>
                <c:pt idx="59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D-46B6-A536-0A1CE3EFAA50}"/>
            </c:ext>
          </c:extLst>
        </c:ser>
        <c:ser>
          <c:idx val="1"/>
          <c:order val="1"/>
          <c:tx>
            <c:strRef>
              <c:f>mouse_2!$O$1</c:f>
              <c:strCache>
                <c:ptCount val="1"/>
                <c:pt idx="0">
                  <c:v>Impostor mouse_avg_z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mouse_2!$M$2:$M$61</c:f>
              <c:numCache>
                <c:formatCode>0.000</c:formatCode>
                <c:ptCount val="60"/>
                <c:pt idx="0">
                  <c:v>0.01</c:v>
                </c:pt>
                <c:pt idx="1">
                  <c:v>6.0000000000000005E-2</c:v>
                </c:pt>
                <c:pt idx="2">
                  <c:v>0.11000000000000001</c:v>
                </c:pt>
                <c:pt idx="3">
                  <c:v>0.16000000000000003</c:v>
                </c:pt>
                <c:pt idx="4">
                  <c:v>0.21000000000000002</c:v>
                </c:pt>
                <c:pt idx="5">
                  <c:v>0.26</c:v>
                </c:pt>
                <c:pt idx="6">
                  <c:v>0.31</c:v>
                </c:pt>
                <c:pt idx="7">
                  <c:v>0.36</c:v>
                </c:pt>
                <c:pt idx="8">
                  <c:v>0.41</c:v>
                </c:pt>
                <c:pt idx="9">
                  <c:v>0.45999999999999996</c:v>
                </c:pt>
                <c:pt idx="10">
                  <c:v>0.51</c:v>
                </c:pt>
                <c:pt idx="11">
                  <c:v>0.56000000000000005</c:v>
                </c:pt>
                <c:pt idx="12">
                  <c:v>0.6100000000000001</c:v>
                </c:pt>
                <c:pt idx="13">
                  <c:v>0.66000000000000014</c:v>
                </c:pt>
                <c:pt idx="14">
                  <c:v>0.71000000000000019</c:v>
                </c:pt>
                <c:pt idx="15">
                  <c:v>0.76000000000000023</c:v>
                </c:pt>
                <c:pt idx="16">
                  <c:v>0.81000000000000028</c:v>
                </c:pt>
                <c:pt idx="17">
                  <c:v>0.86000000000000032</c:v>
                </c:pt>
                <c:pt idx="18">
                  <c:v>0.91000000000000036</c:v>
                </c:pt>
                <c:pt idx="19">
                  <c:v>0.96000000000000041</c:v>
                </c:pt>
                <c:pt idx="20">
                  <c:v>1.0100000000000005</c:v>
                </c:pt>
                <c:pt idx="21">
                  <c:v>1.0600000000000005</c:v>
                </c:pt>
                <c:pt idx="22">
                  <c:v>1.1100000000000005</c:v>
                </c:pt>
                <c:pt idx="23">
                  <c:v>1.1600000000000006</c:v>
                </c:pt>
                <c:pt idx="24">
                  <c:v>1.2100000000000006</c:v>
                </c:pt>
                <c:pt idx="25">
                  <c:v>1.2600000000000007</c:v>
                </c:pt>
                <c:pt idx="26">
                  <c:v>1.3100000000000007</c:v>
                </c:pt>
                <c:pt idx="27">
                  <c:v>1.3600000000000008</c:v>
                </c:pt>
                <c:pt idx="28">
                  <c:v>1.4100000000000008</c:v>
                </c:pt>
                <c:pt idx="29">
                  <c:v>1.4600000000000009</c:v>
                </c:pt>
                <c:pt idx="30">
                  <c:v>1.5100000000000009</c:v>
                </c:pt>
                <c:pt idx="31">
                  <c:v>1.5600000000000009</c:v>
                </c:pt>
                <c:pt idx="32">
                  <c:v>1.610000000000001</c:v>
                </c:pt>
                <c:pt idx="33">
                  <c:v>1.660000000000001</c:v>
                </c:pt>
                <c:pt idx="34">
                  <c:v>1.7100000000000011</c:v>
                </c:pt>
                <c:pt idx="35">
                  <c:v>1.7600000000000011</c:v>
                </c:pt>
                <c:pt idx="36">
                  <c:v>1.8100000000000012</c:v>
                </c:pt>
                <c:pt idx="37">
                  <c:v>1.8600000000000012</c:v>
                </c:pt>
                <c:pt idx="38">
                  <c:v>1.9100000000000013</c:v>
                </c:pt>
                <c:pt idx="39">
                  <c:v>1.9600000000000013</c:v>
                </c:pt>
                <c:pt idx="40">
                  <c:v>2.0100000000000011</c:v>
                </c:pt>
                <c:pt idx="41">
                  <c:v>2.0600000000000009</c:v>
                </c:pt>
                <c:pt idx="42">
                  <c:v>2.1100000000000008</c:v>
                </c:pt>
                <c:pt idx="43">
                  <c:v>2.1600000000000006</c:v>
                </c:pt>
                <c:pt idx="44">
                  <c:v>2.2100000000000004</c:v>
                </c:pt>
                <c:pt idx="45">
                  <c:v>2.2600000000000002</c:v>
                </c:pt>
                <c:pt idx="46">
                  <c:v>2.31</c:v>
                </c:pt>
                <c:pt idx="47">
                  <c:v>2.36</c:v>
                </c:pt>
                <c:pt idx="48">
                  <c:v>2.4099999999999997</c:v>
                </c:pt>
                <c:pt idx="49">
                  <c:v>2.4599999999999995</c:v>
                </c:pt>
                <c:pt idx="50">
                  <c:v>2.5099999999999993</c:v>
                </c:pt>
                <c:pt idx="51">
                  <c:v>2.5599999999999992</c:v>
                </c:pt>
                <c:pt idx="52">
                  <c:v>2.609999999999999</c:v>
                </c:pt>
                <c:pt idx="53">
                  <c:v>2.6599999999999988</c:v>
                </c:pt>
                <c:pt idx="54">
                  <c:v>2.7099999999999986</c:v>
                </c:pt>
                <c:pt idx="55">
                  <c:v>2.7599999999999985</c:v>
                </c:pt>
                <c:pt idx="56">
                  <c:v>2.8099999999999983</c:v>
                </c:pt>
                <c:pt idx="57">
                  <c:v>2.8599999999999981</c:v>
                </c:pt>
                <c:pt idx="58">
                  <c:v>2.9099999999999979</c:v>
                </c:pt>
                <c:pt idx="59">
                  <c:v>2.9599999999999977</c:v>
                </c:pt>
              </c:numCache>
            </c:numRef>
          </c:xVal>
          <c:yVal>
            <c:numRef>
              <c:f>mouse_2!$O$2:$O$61</c:f>
              <c:numCache>
                <c:formatCode>General</c:formatCode>
                <c:ptCount val="60"/>
                <c:pt idx="0">
                  <c:v>0.41199999999999998</c:v>
                </c:pt>
                <c:pt idx="1">
                  <c:v>0.68200000000000005</c:v>
                </c:pt>
                <c:pt idx="2">
                  <c:v>0.77300000000000002</c:v>
                </c:pt>
                <c:pt idx="3">
                  <c:v>0.28999999999999998</c:v>
                </c:pt>
                <c:pt idx="4">
                  <c:v>0.504</c:v>
                </c:pt>
                <c:pt idx="5">
                  <c:v>0.38200000000000001</c:v>
                </c:pt>
                <c:pt idx="6">
                  <c:v>0.86199999999999999</c:v>
                </c:pt>
                <c:pt idx="7">
                  <c:v>0.85099999999999998</c:v>
                </c:pt>
                <c:pt idx="8">
                  <c:v>1.1000000000000001</c:v>
                </c:pt>
                <c:pt idx="9">
                  <c:v>1.1879999999999999</c:v>
                </c:pt>
                <c:pt idx="10">
                  <c:v>3.2879999999999998</c:v>
                </c:pt>
                <c:pt idx="11">
                  <c:v>4.3259999999999996</c:v>
                </c:pt>
                <c:pt idx="12">
                  <c:v>1.3080000000000001</c:v>
                </c:pt>
                <c:pt idx="13">
                  <c:v>1.9950000000000001</c:v>
                </c:pt>
                <c:pt idx="14">
                  <c:v>1.17</c:v>
                </c:pt>
                <c:pt idx="15">
                  <c:v>1.3080000000000001</c:v>
                </c:pt>
                <c:pt idx="16">
                  <c:v>3.3879999999999999</c:v>
                </c:pt>
                <c:pt idx="17">
                  <c:v>3.2879999999999998</c:v>
                </c:pt>
                <c:pt idx="18">
                  <c:v>4.6360000000000001</c:v>
                </c:pt>
                <c:pt idx="19">
                  <c:v>3.101</c:v>
                </c:pt>
                <c:pt idx="20">
                  <c:v>4.7309999999999999</c:v>
                </c:pt>
                <c:pt idx="21">
                  <c:v>0.93100000000000005</c:v>
                </c:pt>
                <c:pt idx="22">
                  <c:v>3.6960000000000002</c:v>
                </c:pt>
                <c:pt idx="23">
                  <c:v>4.7309999999999999</c:v>
                </c:pt>
                <c:pt idx="24">
                  <c:v>0.93100000000000005</c:v>
                </c:pt>
                <c:pt idx="25">
                  <c:v>1.857</c:v>
                </c:pt>
                <c:pt idx="26">
                  <c:v>1.9279999999999999</c:v>
                </c:pt>
                <c:pt idx="27">
                  <c:v>0.93100000000000005</c:v>
                </c:pt>
                <c:pt idx="28">
                  <c:v>1.857</c:v>
                </c:pt>
                <c:pt idx="29">
                  <c:v>1.9279999999999999</c:v>
                </c:pt>
                <c:pt idx="30">
                  <c:v>4.242</c:v>
                </c:pt>
                <c:pt idx="31">
                  <c:v>1.7849999999999999</c:v>
                </c:pt>
                <c:pt idx="32">
                  <c:v>2.5459999999999998</c:v>
                </c:pt>
                <c:pt idx="33">
                  <c:v>2.1280000000000001</c:v>
                </c:pt>
                <c:pt idx="34">
                  <c:v>2.5169999999999999</c:v>
                </c:pt>
                <c:pt idx="35">
                  <c:v>3.4529999999999998</c:v>
                </c:pt>
                <c:pt idx="36">
                  <c:v>3.6970000000000001</c:v>
                </c:pt>
                <c:pt idx="37">
                  <c:v>2.9369999999999998</c:v>
                </c:pt>
                <c:pt idx="38">
                  <c:v>2.669</c:v>
                </c:pt>
                <c:pt idx="39">
                  <c:v>2.883</c:v>
                </c:pt>
                <c:pt idx="40">
                  <c:v>3.5339999999999998</c:v>
                </c:pt>
                <c:pt idx="41">
                  <c:v>3.7669999999999999</c:v>
                </c:pt>
                <c:pt idx="42">
                  <c:v>3.6469999999999998</c:v>
                </c:pt>
                <c:pt idx="43">
                  <c:v>3.2440000000000002</c:v>
                </c:pt>
                <c:pt idx="44">
                  <c:v>3.6480000000000001</c:v>
                </c:pt>
                <c:pt idx="45">
                  <c:v>3.1960000000000002</c:v>
                </c:pt>
                <c:pt idx="46">
                  <c:v>2.4220000000000002</c:v>
                </c:pt>
                <c:pt idx="47">
                  <c:v>2.3530000000000002</c:v>
                </c:pt>
                <c:pt idx="48">
                  <c:v>1.53</c:v>
                </c:pt>
                <c:pt idx="49">
                  <c:v>3.3660000000000001</c:v>
                </c:pt>
                <c:pt idx="50">
                  <c:v>1.1990000000000001</c:v>
                </c:pt>
                <c:pt idx="51">
                  <c:v>1.1990000000000001</c:v>
                </c:pt>
                <c:pt idx="52">
                  <c:v>0.76</c:v>
                </c:pt>
                <c:pt idx="53">
                  <c:v>0.82099999999999995</c:v>
                </c:pt>
                <c:pt idx="54">
                  <c:v>0.88500000000000001</c:v>
                </c:pt>
                <c:pt idx="55">
                  <c:v>0.27300000000000002</c:v>
                </c:pt>
                <c:pt idx="56">
                  <c:v>1.2130000000000001</c:v>
                </c:pt>
                <c:pt idx="57">
                  <c:v>0.83599999999999997</c:v>
                </c:pt>
                <c:pt idx="58">
                  <c:v>1.0009999999999999</c:v>
                </c:pt>
                <c:pt idx="59">
                  <c:v>1.375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D-46B6-A536-0A1CE3EFAA50}"/>
            </c:ext>
          </c:extLst>
        </c:ser>
        <c:ser>
          <c:idx val="2"/>
          <c:order val="2"/>
          <c:tx>
            <c:strRef>
              <c:f>mouse_2!$P$1</c:f>
              <c:strCache>
                <c:ptCount val="1"/>
                <c:pt idx="0">
                  <c:v>Genuine mouse_max_z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FFFF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mouse_2!$M$2:$M$61</c:f>
              <c:numCache>
                <c:formatCode>0.000</c:formatCode>
                <c:ptCount val="60"/>
                <c:pt idx="0">
                  <c:v>0.01</c:v>
                </c:pt>
                <c:pt idx="1">
                  <c:v>6.0000000000000005E-2</c:v>
                </c:pt>
                <c:pt idx="2">
                  <c:v>0.11000000000000001</c:v>
                </c:pt>
                <c:pt idx="3">
                  <c:v>0.16000000000000003</c:v>
                </c:pt>
                <c:pt idx="4">
                  <c:v>0.21000000000000002</c:v>
                </c:pt>
                <c:pt idx="5">
                  <c:v>0.26</c:v>
                </c:pt>
                <c:pt idx="6">
                  <c:v>0.31</c:v>
                </c:pt>
                <c:pt idx="7">
                  <c:v>0.36</c:v>
                </c:pt>
                <c:pt idx="8">
                  <c:v>0.41</c:v>
                </c:pt>
                <c:pt idx="9">
                  <c:v>0.45999999999999996</c:v>
                </c:pt>
                <c:pt idx="10">
                  <c:v>0.51</c:v>
                </c:pt>
                <c:pt idx="11">
                  <c:v>0.56000000000000005</c:v>
                </c:pt>
                <c:pt idx="12">
                  <c:v>0.6100000000000001</c:v>
                </c:pt>
                <c:pt idx="13">
                  <c:v>0.66000000000000014</c:v>
                </c:pt>
                <c:pt idx="14">
                  <c:v>0.71000000000000019</c:v>
                </c:pt>
                <c:pt idx="15">
                  <c:v>0.76000000000000023</c:v>
                </c:pt>
                <c:pt idx="16">
                  <c:v>0.81000000000000028</c:v>
                </c:pt>
                <c:pt idx="17">
                  <c:v>0.86000000000000032</c:v>
                </c:pt>
                <c:pt idx="18">
                  <c:v>0.91000000000000036</c:v>
                </c:pt>
                <c:pt idx="19">
                  <c:v>0.96000000000000041</c:v>
                </c:pt>
                <c:pt idx="20">
                  <c:v>1.0100000000000005</c:v>
                </c:pt>
                <c:pt idx="21">
                  <c:v>1.0600000000000005</c:v>
                </c:pt>
                <c:pt idx="22">
                  <c:v>1.1100000000000005</c:v>
                </c:pt>
                <c:pt idx="23">
                  <c:v>1.1600000000000006</c:v>
                </c:pt>
                <c:pt idx="24">
                  <c:v>1.2100000000000006</c:v>
                </c:pt>
                <c:pt idx="25">
                  <c:v>1.2600000000000007</c:v>
                </c:pt>
                <c:pt idx="26">
                  <c:v>1.3100000000000007</c:v>
                </c:pt>
                <c:pt idx="27">
                  <c:v>1.3600000000000008</c:v>
                </c:pt>
                <c:pt idx="28">
                  <c:v>1.4100000000000008</c:v>
                </c:pt>
                <c:pt idx="29">
                  <c:v>1.4600000000000009</c:v>
                </c:pt>
                <c:pt idx="30">
                  <c:v>1.5100000000000009</c:v>
                </c:pt>
                <c:pt idx="31">
                  <c:v>1.5600000000000009</c:v>
                </c:pt>
                <c:pt idx="32">
                  <c:v>1.610000000000001</c:v>
                </c:pt>
                <c:pt idx="33">
                  <c:v>1.660000000000001</c:v>
                </c:pt>
                <c:pt idx="34">
                  <c:v>1.7100000000000011</c:v>
                </c:pt>
                <c:pt idx="35">
                  <c:v>1.7600000000000011</c:v>
                </c:pt>
                <c:pt idx="36">
                  <c:v>1.8100000000000012</c:v>
                </c:pt>
                <c:pt idx="37">
                  <c:v>1.8600000000000012</c:v>
                </c:pt>
                <c:pt idx="38">
                  <c:v>1.9100000000000013</c:v>
                </c:pt>
                <c:pt idx="39">
                  <c:v>1.9600000000000013</c:v>
                </c:pt>
                <c:pt idx="40">
                  <c:v>2.0100000000000011</c:v>
                </c:pt>
                <c:pt idx="41">
                  <c:v>2.0600000000000009</c:v>
                </c:pt>
                <c:pt idx="42">
                  <c:v>2.1100000000000008</c:v>
                </c:pt>
                <c:pt idx="43">
                  <c:v>2.1600000000000006</c:v>
                </c:pt>
                <c:pt idx="44">
                  <c:v>2.2100000000000004</c:v>
                </c:pt>
                <c:pt idx="45">
                  <c:v>2.2600000000000002</c:v>
                </c:pt>
                <c:pt idx="46">
                  <c:v>2.31</c:v>
                </c:pt>
                <c:pt idx="47">
                  <c:v>2.36</c:v>
                </c:pt>
                <c:pt idx="48">
                  <c:v>2.4099999999999997</c:v>
                </c:pt>
                <c:pt idx="49">
                  <c:v>2.4599999999999995</c:v>
                </c:pt>
                <c:pt idx="50">
                  <c:v>2.5099999999999993</c:v>
                </c:pt>
                <c:pt idx="51">
                  <c:v>2.5599999999999992</c:v>
                </c:pt>
                <c:pt idx="52">
                  <c:v>2.609999999999999</c:v>
                </c:pt>
                <c:pt idx="53">
                  <c:v>2.6599999999999988</c:v>
                </c:pt>
                <c:pt idx="54">
                  <c:v>2.7099999999999986</c:v>
                </c:pt>
                <c:pt idx="55">
                  <c:v>2.7599999999999985</c:v>
                </c:pt>
                <c:pt idx="56">
                  <c:v>2.8099999999999983</c:v>
                </c:pt>
                <c:pt idx="57">
                  <c:v>2.8599999999999981</c:v>
                </c:pt>
                <c:pt idx="58">
                  <c:v>2.9099999999999979</c:v>
                </c:pt>
                <c:pt idx="59">
                  <c:v>2.9599999999999977</c:v>
                </c:pt>
              </c:numCache>
            </c:numRef>
          </c:xVal>
          <c:yVal>
            <c:numRef>
              <c:f>mouse_2!$P$2:$P$61</c:f>
              <c:numCache>
                <c:formatCode>General</c:formatCode>
                <c:ptCount val="60"/>
                <c:pt idx="0">
                  <c:v>0.94499999999999995</c:v>
                </c:pt>
                <c:pt idx="1">
                  <c:v>0.98799999999999999</c:v>
                </c:pt>
                <c:pt idx="2">
                  <c:v>1.056</c:v>
                </c:pt>
                <c:pt idx="3">
                  <c:v>1.0209999999999999</c:v>
                </c:pt>
                <c:pt idx="4">
                  <c:v>1.006</c:v>
                </c:pt>
                <c:pt idx="5">
                  <c:v>1.0089999999999999</c:v>
                </c:pt>
                <c:pt idx="6">
                  <c:v>1.022</c:v>
                </c:pt>
                <c:pt idx="7">
                  <c:v>1.016</c:v>
                </c:pt>
                <c:pt idx="8">
                  <c:v>0.93799999999999994</c:v>
                </c:pt>
                <c:pt idx="9">
                  <c:v>0.999</c:v>
                </c:pt>
                <c:pt idx="10">
                  <c:v>0.79500000000000004</c:v>
                </c:pt>
                <c:pt idx="11">
                  <c:v>1.181</c:v>
                </c:pt>
                <c:pt idx="12">
                  <c:v>1.4510000000000001</c:v>
                </c:pt>
                <c:pt idx="13">
                  <c:v>4.5730000000000004</c:v>
                </c:pt>
                <c:pt idx="14">
                  <c:v>3.1419999999999999</c:v>
                </c:pt>
                <c:pt idx="15">
                  <c:v>2.569</c:v>
                </c:pt>
                <c:pt idx="16">
                  <c:v>2.2250000000000001</c:v>
                </c:pt>
                <c:pt idx="17">
                  <c:v>3.2650000000000001</c:v>
                </c:pt>
                <c:pt idx="18">
                  <c:v>2.121</c:v>
                </c:pt>
                <c:pt idx="19">
                  <c:v>1.931</c:v>
                </c:pt>
                <c:pt idx="20">
                  <c:v>1.42</c:v>
                </c:pt>
                <c:pt idx="21">
                  <c:v>1.4790000000000001</c:v>
                </c:pt>
                <c:pt idx="22">
                  <c:v>2.8490000000000002</c:v>
                </c:pt>
                <c:pt idx="23">
                  <c:v>2.9260000000000002</c:v>
                </c:pt>
                <c:pt idx="24">
                  <c:v>1.667</c:v>
                </c:pt>
                <c:pt idx="25">
                  <c:v>2.2669999999999999</c:v>
                </c:pt>
                <c:pt idx="26">
                  <c:v>3.347</c:v>
                </c:pt>
                <c:pt idx="27">
                  <c:v>4.3330000000000002</c:v>
                </c:pt>
                <c:pt idx="28">
                  <c:v>2.548</c:v>
                </c:pt>
                <c:pt idx="29">
                  <c:v>3.06</c:v>
                </c:pt>
                <c:pt idx="30">
                  <c:v>0.97199999999999998</c:v>
                </c:pt>
                <c:pt idx="31">
                  <c:v>2.1720000000000002</c:v>
                </c:pt>
                <c:pt idx="32">
                  <c:v>4.5170000000000003</c:v>
                </c:pt>
                <c:pt idx="33">
                  <c:v>3.161</c:v>
                </c:pt>
                <c:pt idx="34">
                  <c:v>1.9419999999999999</c:v>
                </c:pt>
                <c:pt idx="35">
                  <c:v>4.7750000000000004</c:v>
                </c:pt>
                <c:pt idx="36">
                  <c:v>2.75</c:v>
                </c:pt>
                <c:pt idx="37">
                  <c:v>0.93600000000000005</c:v>
                </c:pt>
                <c:pt idx="38">
                  <c:v>1.603</c:v>
                </c:pt>
                <c:pt idx="39">
                  <c:v>3.31</c:v>
                </c:pt>
                <c:pt idx="40">
                  <c:v>3.7549999999999999</c:v>
                </c:pt>
                <c:pt idx="41">
                  <c:v>3.0150000000000001</c:v>
                </c:pt>
                <c:pt idx="42">
                  <c:v>0.71799999999999997</c:v>
                </c:pt>
                <c:pt idx="43">
                  <c:v>1.7450000000000001</c:v>
                </c:pt>
                <c:pt idx="44">
                  <c:v>1.329</c:v>
                </c:pt>
                <c:pt idx="45">
                  <c:v>0.86399999999999999</c:v>
                </c:pt>
                <c:pt idx="46">
                  <c:v>0.68500000000000005</c:v>
                </c:pt>
                <c:pt idx="47">
                  <c:v>1.264</c:v>
                </c:pt>
                <c:pt idx="48">
                  <c:v>1.264</c:v>
                </c:pt>
                <c:pt idx="49">
                  <c:v>1.1040000000000001</c:v>
                </c:pt>
                <c:pt idx="50">
                  <c:v>1.61</c:v>
                </c:pt>
                <c:pt idx="51">
                  <c:v>1.3540000000000001</c:v>
                </c:pt>
                <c:pt idx="52">
                  <c:v>1.26</c:v>
                </c:pt>
                <c:pt idx="53">
                  <c:v>1.3049999999999999</c:v>
                </c:pt>
                <c:pt idx="54">
                  <c:v>2.375</c:v>
                </c:pt>
                <c:pt idx="55">
                  <c:v>1.381</c:v>
                </c:pt>
                <c:pt idx="56">
                  <c:v>1.069</c:v>
                </c:pt>
                <c:pt idx="57">
                  <c:v>1.61</c:v>
                </c:pt>
                <c:pt idx="58">
                  <c:v>1.272</c:v>
                </c:pt>
                <c:pt idx="59">
                  <c:v>1.236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D-46B6-A536-0A1CE3EFAA50}"/>
            </c:ext>
          </c:extLst>
        </c:ser>
        <c:ser>
          <c:idx val="3"/>
          <c:order val="3"/>
          <c:tx>
            <c:strRef>
              <c:f>mouse_2!$Q$1</c:f>
              <c:strCache>
                <c:ptCount val="1"/>
                <c:pt idx="0">
                  <c:v>Impostor mouse_max_z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33CC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mouse_2!$M$2:$M$61</c:f>
              <c:numCache>
                <c:formatCode>0.000</c:formatCode>
                <c:ptCount val="60"/>
                <c:pt idx="0">
                  <c:v>0.01</c:v>
                </c:pt>
                <c:pt idx="1">
                  <c:v>6.0000000000000005E-2</c:v>
                </c:pt>
                <c:pt idx="2">
                  <c:v>0.11000000000000001</c:v>
                </c:pt>
                <c:pt idx="3">
                  <c:v>0.16000000000000003</c:v>
                </c:pt>
                <c:pt idx="4">
                  <c:v>0.21000000000000002</c:v>
                </c:pt>
                <c:pt idx="5">
                  <c:v>0.26</c:v>
                </c:pt>
                <c:pt idx="6">
                  <c:v>0.31</c:v>
                </c:pt>
                <c:pt idx="7">
                  <c:v>0.36</c:v>
                </c:pt>
                <c:pt idx="8">
                  <c:v>0.41</c:v>
                </c:pt>
                <c:pt idx="9">
                  <c:v>0.45999999999999996</c:v>
                </c:pt>
                <c:pt idx="10">
                  <c:v>0.51</c:v>
                </c:pt>
                <c:pt idx="11">
                  <c:v>0.56000000000000005</c:v>
                </c:pt>
                <c:pt idx="12">
                  <c:v>0.6100000000000001</c:v>
                </c:pt>
                <c:pt idx="13">
                  <c:v>0.66000000000000014</c:v>
                </c:pt>
                <c:pt idx="14">
                  <c:v>0.71000000000000019</c:v>
                </c:pt>
                <c:pt idx="15">
                  <c:v>0.76000000000000023</c:v>
                </c:pt>
                <c:pt idx="16">
                  <c:v>0.81000000000000028</c:v>
                </c:pt>
                <c:pt idx="17">
                  <c:v>0.86000000000000032</c:v>
                </c:pt>
                <c:pt idx="18">
                  <c:v>0.91000000000000036</c:v>
                </c:pt>
                <c:pt idx="19">
                  <c:v>0.96000000000000041</c:v>
                </c:pt>
                <c:pt idx="20">
                  <c:v>1.0100000000000005</c:v>
                </c:pt>
                <c:pt idx="21">
                  <c:v>1.0600000000000005</c:v>
                </c:pt>
                <c:pt idx="22">
                  <c:v>1.1100000000000005</c:v>
                </c:pt>
                <c:pt idx="23">
                  <c:v>1.1600000000000006</c:v>
                </c:pt>
                <c:pt idx="24">
                  <c:v>1.2100000000000006</c:v>
                </c:pt>
                <c:pt idx="25">
                  <c:v>1.2600000000000007</c:v>
                </c:pt>
                <c:pt idx="26">
                  <c:v>1.3100000000000007</c:v>
                </c:pt>
                <c:pt idx="27">
                  <c:v>1.3600000000000008</c:v>
                </c:pt>
                <c:pt idx="28">
                  <c:v>1.4100000000000008</c:v>
                </c:pt>
                <c:pt idx="29">
                  <c:v>1.4600000000000009</c:v>
                </c:pt>
                <c:pt idx="30">
                  <c:v>1.5100000000000009</c:v>
                </c:pt>
                <c:pt idx="31">
                  <c:v>1.5600000000000009</c:v>
                </c:pt>
                <c:pt idx="32">
                  <c:v>1.610000000000001</c:v>
                </c:pt>
                <c:pt idx="33">
                  <c:v>1.660000000000001</c:v>
                </c:pt>
                <c:pt idx="34">
                  <c:v>1.7100000000000011</c:v>
                </c:pt>
                <c:pt idx="35">
                  <c:v>1.7600000000000011</c:v>
                </c:pt>
                <c:pt idx="36">
                  <c:v>1.8100000000000012</c:v>
                </c:pt>
                <c:pt idx="37">
                  <c:v>1.8600000000000012</c:v>
                </c:pt>
                <c:pt idx="38">
                  <c:v>1.9100000000000013</c:v>
                </c:pt>
                <c:pt idx="39">
                  <c:v>1.9600000000000013</c:v>
                </c:pt>
                <c:pt idx="40">
                  <c:v>2.0100000000000011</c:v>
                </c:pt>
                <c:pt idx="41">
                  <c:v>2.0600000000000009</c:v>
                </c:pt>
                <c:pt idx="42">
                  <c:v>2.1100000000000008</c:v>
                </c:pt>
                <c:pt idx="43">
                  <c:v>2.1600000000000006</c:v>
                </c:pt>
                <c:pt idx="44">
                  <c:v>2.2100000000000004</c:v>
                </c:pt>
                <c:pt idx="45">
                  <c:v>2.2600000000000002</c:v>
                </c:pt>
                <c:pt idx="46">
                  <c:v>2.31</c:v>
                </c:pt>
                <c:pt idx="47">
                  <c:v>2.36</c:v>
                </c:pt>
                <c:pt idx="48">
                  <c:v>2.4099999999999997</c:v>
                </c:pt>
                <c:pt idx="49">
                  <c:v>2.4599999999999995</c:v>
                </c:pt>
                <c:pt idx="50">
                  <c:v>2.5099999999999993</c:v>
                </c:pt>
                <c:pt idx="51">
                  <c:v>2.5599999999999992</c:v>
                </c:pt>
                <c:pt idx="52">
                  <c:v>2.609999999999999</c:v>
                </c:pt>
                <c:pt idx="53">
                  <c:v>2.6599999999999988</c:v>
                </c:pt>
                <c:pt idx="54">
                  <c:v>2.7099999999999986</c:v>
                </c:pt>
                <c:pt idx="55">
                  <c:v>2.7599999999999985</c:v>
                </c:pt>
                <c:pt idx="56">
                  <c:v>2.8099999999999983</c:v>
                </c:pt>
                <c:pt idx="57">
                  <c:v>2.8599999999999981</c:v>
                </c:pt>
                <c:pt idx="58">
                  <c:v>2.9099999999999979</c:v>
                </c:pt>
                <c:pt idx="59">
                  <c:v>2.9599999999999977</c:v>
                </c:pt>
              </c:numCache>
            </c:numRef>
          </c:xVal>
          <c:yVal>
            <c:numRef>
              <c:f>mouse_2!$Q$2:$Q$61</c:f>
              <c:numCache>
                <c:formatCode>General</c:formatCode>
                <c:ptCount val="60"/>
                <c:pt idx="0">
                  <c:v>0.68700000000000006</c:v>
                </c:pt>
                <c:pt idx="1">
                  <c:v>0.97699999999999998</c:v>
                </c:pt>
                <c:pt idx="2">
                  <c:v>1.1539999999999999</c:v>
                </c:pt>
                <c:pt idx="3">
                  <c:v>0.67200000000000004</c:v>
                </c:pt>
                <c:pt idx="4">
                  <c:v>0.90200000000000002</c:v>
                </c:pt>
                <c:pt idx="5">
                  <c:v>0.73099999999999998</c:v>
                </c:pt>
                <c:pt idx="6">
                  <c:v>2.1659999999999999</c:v>
                </c:pt>
                <c:pt idx="7">
                  <c:v>1.738</c:v>
                </c:pt>
                <c:pt idx="8">
                  <c:v>2.4910000000000001</c:v>
                </c:pt>
                <c:pt idx="9">
                  <c:v>2.5059999999999998</c:v>
                </c:pt>
                <c:pt idx="10">
                  <c:v>7.0359999999999996</c:v>
                </c:pt>
                <c:pt idx="11">
                  <c:v>7.78</c:v>
                </c:pt>
                <c:pt idx="12">
                  <c:v>1.716</c:v>
                </c:pt>
                <c:pt idx="13">
                  <c:v>3.7759999999999998</c:v>
                </c:pt>
                <c:pt idx="14">
                  <c:v>2.3130000000000002</c:v>
                </c:pt>
                <c:pt idx="15">
                  <c:v>1.716</c:v>
                </c:pt>
                <c:pt idx="16">
                  <c:v>6.1609999999999996</c:v>
                </c:pt>
                <c:pt idx="17">
                  <c:v>7.0359999999999996</c:v>
                </c:pt>
                <c:pt idx="18">
                  <c:v>8.173</c:v>
                </c:pt>
                <c:pt idx="19">
                  <c:v>8.7750000000000004</c:v>
                </c:pt>
                <c:pt idx="20">
                  <c:v>6.2249999999999996</c:v>
                </c:pt>
                <c:pt idx="21">
                  <c:v>1.702</c:v>
                </c:pt>
                <c:pt idx="22">
                  <c:v>4.851</c:v>
                </c:pt>
                <c:pt idx="23">
                  <c:v>6.2249999999999996</c:v>
                </c:pt>
                <c:pt idx="24">
                  <c:v>1.702</c:v>
                </c:pt>
                <c:pt idx="25">
                  <c:v>4.8650000000000002</c:v>
                </c:pt>
                <c:pt idx="26">
                  <c:v>2.86</c:v>
                </c:pt>
                <c:pt idx="27">
                  <c:v>1.702</c:v>
                </c:pt>
                <c:pt idx="28">
                  <c:v>4.8650000000000002</c:v>
                </c:pt>
                <c:pt idx="29">
                  <c:v>2.86</c:v>
                </c:pt>
                <c:pt idx="30">
                  <c:v>8.07</c:v>
                </c:pt>
                <c:pt idx="31">
                  <c:v>4.2389999999999999</c:v>
                </c:pt>
                <c:pt idx="32">
                  <c:v>3.9820000000000002</c:v>
                </c:pt>
                <c:pt idx="33">
                  <c:v>3.8610000000000002</c:v>
                </c:pt>
                <c:pt idx="34">
                  <c:v>4.6769999999999996</c:v>
                </c:pt>
                <c:pt idx="35">
                  <c:v>6.6609999999999996</c:v>
                </c:pt>
                <c:pt idx="36">
                  <c:v>6.0839999999999996</c:v>
                </c:pt>
                <c:pt idx="37">
                  <c:v>6.1829999999999998</c:v>
                </c:pt>
                <c:pt idx="38">
                  <c:v>4.5339999999999998</c:v>
                </c:pt>
                <c:pt idx="39">
                  <c:v>5.0309999999999997</c:v>
                </c:pt>
                <c:pt idx="40">
                  <c:v>4.1849999999999996</c:v>
                </c:pt>
                <c:pt idx="41">
                  <c:v>5.8179999999999996</c:v>
                </c:pt>
                <c:pt idx="42">
                  <c:v>5.6319999999999997</c:v>
                </c:pt>
                <c:pt idx="43">
                  <c:v>4.976</c:v>
                </c:pt>
                <c:pt idx="44">
                  <c:v>4.9089999999999998</c:v>
                </c:pt>
                <c:pt idx="45">
                  <c:v>4.1059999999999999</c:v>
                </c:pt>
                <c:pt idx="46">
                  <c:v>3.18</c:v>
                </c:pt>
                <c:pt idx="47">
                  <c:v>3.4889999999999999</c:v>
                </c:pt>
                <c:pt idx="48">
                  <c:v>1.7669999999999999</c:v>
                </c:pt>
                <c:pt idx="49">
                  <c:v>4.7089999999999996</c:v>
                </c:pt>
                <c:pt idx="50">
                  <c:v>2.1520000000000001</c:v>
                </c:pt>
                <c:pt idx="51">
                  <c:v>2.1520000000000001</c:v>
                </c:pt>
                <c:pt idx="52">
                  <c:v>1.1439999999999999</c:v>
                </c:pt>
                <c:pt idx="53">
                  <c:v>1.3340000000000001</c:v>
                </c:pt>
                <c:pt idx="54">
                  <c:v>1.556</c:v>
                </c:pt>
                <c:pt idx="55">
                  <c:v>0.53500000000000003</c:v>
                </c:pt>
                <c:pt idx="56">
                  <c:v>2.0539999999999998</c:v>
                </c:pt>
                <c:pt idx="57">
                  <c:v>1.794</c:v>
                </c:pt>
                <c:pt idx="58">
                  <c:v>1.7130000000000001</c:v>
                </c:pt>
                <c:pt idx="59">
                  <c:v>1.9830000000000001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9D-46B6-A536-0A1CE3EFA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99903"/>
        <c:axId val="497700383"/>
      </c:scatterChart>
      <c:valAx>
        <c:axId val="497699903"/>
        <c:scaling>
          <c:orientation val="minMax"/>
          <c:max val="3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Z-Score Threshold Scale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34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00383"/>
        <c:crosses val="autoZero"/>
        <c:crossBetween val="midCat"/>
        <c:majorUnit val="0.1"/>
      </c:valAx>
      <c:valAx>
        <c:axId val="497700383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Z-Score Average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99903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Keystrokes: Genuine vs Impostor Max Z-Scores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'keystroke specific'!$AJ$70</c:f>
              <c:strCache>
                <c:ptCount val="1"/>
                <c:pt idx="0">
                  <c:v>Genuine 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specific'!$AJ$71:$AJ$130</c:f>
              <c:numCache>
                <c:formatCode>General</c:formatCode>
                <c:ptCount val="60"/>
                <c:pt idx="0">
                  <c:v>0.26500000000000001</c:v>
                </c:pt>
                <c:pt idx="1">
                  <c:v>0.159</c:v>
                </c:pt>
                <c:pt idx="2">
                  <c:v>0.373</c:v>
                </c:pt>
                <c:pt idx="3">
                  <c:v>0.28699999999999998</c:v>
                </c:pt>
                <c:pt idx="4">
                  <c:v>0.33700000000000002</c:v>
                </c:pt>
                <c:pt idx="5">
                  <c:v>0.13600000000000001</c:v>
                </c:pt>
                <c:pt idx="6">
                  <c:v>0.129</c:v>
                </c:pt>
                <c:pt idx="7">
                  <c:v>0.17899999999999999</c:v>
                </c:pt>
                <c:pt idx="8">
                  <c:v>0.22800000000000001</c:v>
                </c:pt>
                <c:pt idx="9">
                  <c:v>0.14399999999999999</c:v>
                </c:pt>
                <c:pt idx="10">
                  <c:v>0.124</c:v>
                </c:pt>
                <c:pt idx="11">
                  <c:v>0.15</c:v>
                </c:pt>
                <c:pt idx="12">
                  <c:v>0.13500000000000001</c:v>
                </c:pt>
                <c:pt idx="13">
                  <c:v>0.14699999999999999</c:v>
                </c:pt>
                <c:pt idx="14">
                  <c:v>0.31</c:v>
                </c:pt>
                <c:pt idx="15">
                  <c:v>0.254</c:v>
                </c:pt>
                <c:pt idx="16">
                  <c:v>0.09</c:v>
                </c:pt>
                <c:pt idx="17">
                  <c:v>0.154</c:v>
                </c:pt>
                <c:pt idx="18">
                  <c:v>0.249</c:v>
                </c:pt>
                <c:pt idx="19">
                  <c:v>0.35</c:v>
                </c:pt>
                <c:pt idx="20">
                  <c:v>4.7E-2</c:v>
                </c:pt>
                <c:pt idx="21">
                  <c:v>0.129</c:v>
                </c:pt>
                <c:pt idx="22">
                  <c:v>6.7000000000000004E-2</c:v>
                </c:pt>
                <c:pt idx="23">
                  <c:v>0.22900000000000001</c:v>
                </c:pt>
                <c:pt idx="24">
                  <c:v>0.13200000000000001</c:v>
                </c:pt>
                <c:pt idx="25">
                  <c:v>0.22800000000000001</c:v>
                </c:pt>
                <c:pt idx="26">
                  <c:v>3.5999999999999997E-2</c:v>
                </c:pt>
                <c:pt idx="27">
                  <c:v>0.92100000000000004</c:v>
                </c:pt>
                <c:pt idx="28">
                  <c:v>0.67800000000000005</c:v>
                </c:pt>
                <c:pt idx="29">
                  <c:v>0.61599999999999999</c:v>
                </c:pt>
                <c:pt idx="30">
                  <c:v>0.26</c:v>
                </c:pt>
                <c:pt idx="31">
                  <c:v>4.5999999999999999E-2</c:v>
                </c:pt>
                <c:pt idx="32">
                  <c:v>0.28199999999999997</c:v>
                </c:pt>
                <c:pt idx="33">
                  <c:v>0.157</c:v>
                </c:pt>
                <c:pt idx="34">
                  <c:v>0.32200000000000001</c:v>
                </c:pt>
                <c:pt idx="35">
                  <c:v>0.219</c:v>
                </c:pt>
                <c:pt idx="36">
                  <c:v>0.248</c:v>
                </c:pt>
                <c:pt idx="37">
                  <c:v>9.1790000000000003</c:v>
                </c:pt>
                <c:pt idx="38">
                  <c:v>0.17699999999999999</c:v>
                </c:pt>
                <c:pt idx="39">
                  <c:v>0.25800000000000001</c:v>
                </c:pt>
                <c:pt idx="40">
                  <c:v>0.16</c:v>
                </c:pt>
                <c:pt idx="41">
                  <c:v>0.24199999999999999</c:v>
                </c:pt>
                <c:pt idx="42">
                  <c:v>0.35299999999999998</c:v>
                </c:pt>
                <c:pt idx="43">
                  <c:v>0.14799999999999999</c:v>
                </c:pt>
                <c:pt idx="44">
                  <c:v>0.111</c:v>
                </c:pt>
                <c:pt idx="45">
                  <c:v>7.9000000000000001E-2</c:v>
                </c:pt>
                <c:pt idx="46">
                  <c:v>6.6000000000000003E-2</c:v>
                </c:pt>
                <c:pt idx="47">
                  <c:v>0.29599999999999999</c:v>
                </c:pt>
                <c:pt idx="48">
                  <c:v>0.29599999999999999</c:v>
                </c:pt>
                <c:pt idx="49">
                  <c:v>0.25600000000000001</c:v>
                </c:pt>
                <c:pt idx="50">
                  <c:v>8.5000000000000006E-2</c:v>
                </c:pt>
                <c:pt idx="51">
                  <c:v>0.23899999999999999</c:v>
                </c:pt>
                <c:pt idx="52">
                  <c:v>6.8000000000000005E-2</c:v>
                </c:pt>
                <c:pt idx="53">
                  <c:v>0.189</c:v>
                </c:pt>
                <c:pt idx="54">
                  <c:v>0.307</c:v>
                </c:pt>
                <c:pt idx="55">
                  <c:v>0.30099999999999999</c:v>
                </c:pt>
                <c:pt idx="56">
                  <c:v>8.5000000000000006E-2</c:v>
                </c:pt>
                <c:pt idx="57">
                  <c:v>0.193</c:v>
                </c:pt>
                <c:pt idx="58">
                  <c:v>0.13300000000000001</c:v>
                </c:pt>
                <c:pt idx="59">
                  <c:v>0.16900000000000001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9-4740-9CDD-2B1F1F1B69BF}"/>
            </c:ext>
          </c:extLst>
        </c:ser>
        <c:ser>
          <c:idx val="1"/>
          <c:order val="1"/>
          <c:tx>
            <c:strRef>
              <c:f>'keystroke specific'!$AK$70</c:f>
              <c:strCache>
                <c:ptCount val="1"/>
                <c:pt idx="0">
                  <c:v>Impostor 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specific'!$AK$71:$AK$130</c:f>
              <c:numCache>
                <c:formatCode>General</c:formatCode>
                <c:ptCount val="60"/>
                <c:pt idx="0">
                  <c:v>0.13900000000000001</c:v>
                </c:pt>
                <c:pt idx="1">
                  <c:v>3.6070000000000002</c:v>
                </c:pt>
                <c:pt idx="2">
                  <c:v>0.63900000000000001</c:v>
                </c:pt>
                <c:pt idx="3">
                  <c:v>0.93200000000000005</c:v>
                </c:pt>
                <c:pt idx="4">
                  <c:v>1.4350000000000001</c:v>
                </c:pt>
                <c:pt idx="5">
                  <c:v>0.17399999999999999</c:v>
                </c:pt>
                <c:pt idx="6">
                  <c:v>0.58499999999999996</c:v>
                </c:pt>
                <c:pt idx="7">
                  <c:v>0.92400000000000004</c:v>
                </c:pt>
                <c:pt idx="8">
                  <c:v>0.78300000000000003</c:v>
                </c:pt>
                <c:pt idx="9">
                  <c:v>1.264</c:v>
                </c:pt>
                <c:pt idx="10">
                  <c:v>1.3819999999999999</c:v>
                </c:pt>
                <c:pt idx="11">
                  <c:v>1.089</c:v>
                </c:pt>
                <c:pt idx="12">
                  <c:v>2.89</c:v>
                </c:pt>
                <c:pt idx="13">
                  <c:v>0.16700000000000001</c:v>
                </c:pt>
                <c:pt idx="14">
                  <c:v>1.1299999999999999</c:v>
                </c:pt>
                <c:pt idx="15">
                  <c:v>1.0680000000000001</c:v>
                </c:pt>
                <c:pt idx="16">
                  <c:v>0.96499999999999997</c:v>
                </c:pt>
                <c:pt idx="17">
                  <c:v>1.6220000000000001</c:v>
                </c:pt>
                <c:pt idx="18">
                  <c:v>1.016</c:v>
                </c:pt>
                <c:pt idx="19">
                  <c:v>2.65</c:v>
                </c:pt>
                <c:pt idx="20">
                  <c:v>0.95499999999999996</c:v>
                </c:pt>
                <c:pt idx="21">
                  <c:v>0.45900000000000002</c:v>
                </c:pt>
                <c:pt idx="22">
                  <c:v>0.76</c:v>
                </c:pt>
                <c:pt idx="23">
                  <c:v>0.95499999999999996</c:v>
                </c:pt>
                <c:pt idx="24">
                  <c:v>0.45900000000000002</c:v>
                </c:pt>
                <c:pt idx="25">
                  <c:v>0.55200000000000005</c:v>
                </c:pt>
                <c:pt idx="26">
                  <c:v>0.94499999999999995</c:v>
                </c:pt>
                <c:pt idx="27">
                  <c:v>0.45900000000000002</c:v>
                </c:pt>
                <c:pt idx="28">
                  <c:v>0.55200000000000005</c:v>
                </c:pt>
                <c:pt idx="29">
                  <c:v>0.94499999999999995</c:v>
                </c:pt>
                <c:pt idx="30">
                  <c:v>0.58399999999999996</c:v>
                </c:pt>
                <c:pt idx="31">
                  <c:v>1.9770000000000001</c:v>
                </c:pt>
                <c:pt idx="32">
                  <c:v>0.58599999999999997</c:v>
                </c:pt>
                <c:pt idx="33">
                  <c:v>0.60399999999999998</c:v>
                </c:pt>
                <c:pt idx="34">
                  <c:v>0.63200000000000001</c:v>
                </c:pt>
                <c:pt idx="35">
                  <c:v>0.52900000000000003</c:v>
                </c:pt>
                <c:pt idx="36">
                  <c:v>0.433</c:v>
                </c:pt>
                <c:pt idx="37">
                  <c:v>0.376</c:v>
                </c:pt>
                <c:pt idx="38">
                  <c:v>0.46700000000000003</c:v>
                </c:pt>
                <c:pt idx="39">
                  <c:v>0.56299999999999994</c:v>
                </c:pt>
                <c:pt idx="40">
                  <c:v>0.86699999999999999</c:v>
                </c:pt>
                <c:pt idx="41">
                  <c:v>0.49</c:v>
                </c:pt>
                <c:pt idx="42">
                  <c:v>0.34799999999999998</c:v>
                </c:pt>
                <c:pt idx="43">
                  <c:v>0.41099999999999998</c:v>
                </c:pt>
                <c:pt idx="44">
                  <c:v>0.54</c:v>
                </c:pt>
                <c:pt idx="45">
                  <c:v>1.2629999999999999</c:v>
                </c:pt>
                <c:pt idx="46">
                  <c:v>0.52</c:v>
                </c:pt>
                <c:pt idx="47">
                  <c:v>0.46899999999999997</c:v>
                </c:pt>
                <c:pt idx="48">
                  <c:v>0.11</c:v>
                </c:pt>
                <c:pt idx="49">
                  <c:v>0.55700000000000005</c:v>
                </c:pt>
                <c:pt idx="50">
                  <c:v>0.63700000000000001</c:v>
                </c:pt>
                <c:pt idx="51">
                  <c:v>0.53700000000000003</c:v>
                </c:pt>
                <c:pt idx="52">
                  <c:v>0.91300000000000003</c:v>
                </c:pt>
                <c:pt idx="53">
                  <c:v>0.83399999999999996</c:v>
                </c:pt>
                <c:pt idx="54">
                  <c:v>0.73599999999999999</c:v>
                </c:pt>
                <c:pt idx="55">
                  <c:v>1.248</c:v>
                </c:pt>
                <c:pt idx="56">
                  <c:v>0.53600000000000003</c:v>
                </c:pt>
                <c:pt idx="57">
                  <c:v>1.548</c:v>
                </c:pt>
                <c:pt idx="58">
                  <c:v>0.432</c:v>
                </c:pt>
                <c:pt idx="59">
                  <c:v>0.56699999999999995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9-4740-9CDD-2B1F1F1B6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77823"/>
        <c:axId val="497678303"/>
      </c:scatterChart>
      <c:valAx>
        <c:axId val="49767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Threshold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78303"/>
        <c:crosses val="autoZero"/>
        <c:crossBetween val="midCat"/>
        <c:majorUnit val="0.1"/>
      </c:valAx>
      <c:valAx>
        <c:axId val="497678303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Average Z Score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7782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Keystrokes: Genuine vs Impostor Max Z-Scores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'keystroke specific'!$AM$70</c:f>
              <c:strCache>
                <c:ptCount val="1"/>
                <c:pt idx="0">
                  <c:v>Genuine Max_Z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specific'!$AM$71:$AM$130</c:f>
              <c:numCache>
                <c:formatCode>General</c:formatCode>
                <c:ptCount val="60"/>
                <c:pt idx="0">
                  <c:v>0.32200000000000001</c:v>
                </c:pt>
                <c:pt idx="1">
                  <c:v>0.20599999999999999</c:v>
                </c:pt>
                <c:pt idx="2">
                  <c:v>0.50700000000000001</c:v>
                </c:pt>
                <c:pt idx="3">
                  <c:v>0.36699999999999999</c:v>
                </c:pt>
                <c:pt idx="4">
                  <c:v>0.38200000000000001</c:v>
                </c:pt>
                <c:pt idx="5">
                  <c:v>0.308</c:v>
                </c:pt>
                <c:pt idx="6">
                  <c:v>0.42</c:v>
                </c:pt>
                <c:pt idx="7">
                  <c:v>0.314</c:v>
                </c:pt>
                <c:pt idx="8">
                  <c:v>0.33400000000000002</c:v>
                </c:pt>
                <c:pt idx="9">
                  <c:v>0.23400000000000001</c:v>
                </c:pt>
                <c:pt idx="10">
                  <c:v>0.20799999999999999</c:v>
                </c:pt>
                <c:pt idx="11">
                  <c:v>0.157</c:v>
                </c:pt>
                <c:pt idx="12">
                  <c:v>0.30499999999999999</c:v>
                </c:pt>
                <c:pt idx="13">
                  <c:v>0.23</c:v>
                </c:pt>
                <c:pt idx="14">
                  <c:v>0.438</c:v>
                </c:pt>
                <c:pt idx="15">
                  <c:v>0.34899999999999998</c:v>
                </c:pt>
                <c:pt idx="16">
                  <c:v>0.188</c:v>
                </c:pt>
                <c:pt idx="17">
                  <c:v>0.20200000000000001</c:v>
                </c:pt>
                <c:pt idx="18">
                  <c:v>0.42499999999999999</c:v>
                </c:pt>
                <c:pt idx="19">
                  <c:v>0.41</c:v>
                </c:pt>
                <c:pt idx="20">
                  <c:v>7.0999999999999994E-2</c:v>
                </c:pt>
                <c:pt idx="21">
                  <c:v>0.14000000000000001</c:v>
                </c:pt>
                <c:pt idx="22">
                  <c:v>0.14599999999999999</c:v>
                </c:pt>
                <c:pt idx="23">
                  <c:v>0.27600000000000002</c:v>
                </c:pt>
                <c:pt idx="24">
                  <c:v>0.27900000000000003</c:v>
                </c:pt>
                <c:pt idx="25">
                  <c:v>0.40400000000000003</c:v>
                </c:pt>
                <c:pt idx="26">
                  <c:v>9.6000000000000002E-2</c:v>
                </c:pt>
                <c:pt idx="27">
                  <c:v>1.341</c:v>
                </c:pt>
                <c:pt idx="28">
                  <c:v>0.89500000000000002</c:v>
                </c:pt>
                <c:pt idx="29">
                  <c:v>0.83699999999999997</c:v>
                </c:pt>
                <c:pt idx="30">
                  <c:v>0.33700000000000002</c:v>
                </c:pt>
                <c:pt idx="31">
                  <c:v>7.2999999999999995E-2</c:v>
                </c:pt>
                <c:pt idx="32">
                  <c:v>0.42199999999999999</c:v>
                </c:pt>
                <c:pt idx="33">
                  <c:v>0.39100000000000001</c:v>
                </c:pt>
                <c:pt idx="34">
                  <c:v>0.38500000000000001</c:v>
                </c:pt>
                <c:pt idx="35">
                  <c:v>0.29499999999999998</c:v>
                </c:pt>
                <c:pt idx="36">
                  <c:v>0.28999999999999998</c:v>
                </c:pt>
                <c:pt idx="37">
                  <c:v>35.81</c:v>
                </c:pt>
                <c:pt idx="38">
                  <c:v>0.22500000000000001</c:v>
                </c:pt>
                <c:pt idx="39">
                  <c:v>0.57399999999999995</c:v>
                </c:pt>
                <c:pt idx="40">
                  <c:v>0.21099999999999999</c:v>
                </c:pt>
                <c:pt idx="41">
                  <c:v>0.40200000000000002</c:v>
                </c:pt>
                <c:pt idx="42">
                  <c:v>0.48299999999999998</c:v>
                </c:pt>
                <c:pt idx="43">
                  <c:v>0.26300000000000001</c:v>
                </c:pt>
                <c:pt idx="44">
                  <c:v>0.41199999999999998</c:v>
                </c:pt>
                <c:pt idx="45">
                  <c:v>0.21199999999999999</c:v>
                </c:pt>
                <c:pt idx="46">
                  <c:v>0.23100000000000001</c:v>
                </c:pt>
                <c:pt idx="47">
                  <c:v>0.72299999999999998</c:v>
                </c:pt>
                <c:pt idx="48">
                  <c:v>0.72299999999999998</c:v>
                </c:pt>
                <c:pt idx="49">
                  <c:v>0.37</c:v>
                </c:pt>
                <c:pt idx="50">
                  <c:v>0.379</c:v>
                </c:pt>
                <c:pt idx="51">
                  <c:v>0.34200000000000003</c:v>
                </c:pt>
                <c:pt idx="52">
                  <c:v>9.1999999999999998E-2</c:v>
                </c:pt>
                <c:pt idx="53">
                  <c:v>0.218</c:v>
                </c:pt>
                <c:pt idx="54">
                  <c:v>0.379</c:v>
                </c:pt>
                <c:pt idx="55">
                  <c:v>0.33800000000000002</c:v>
                </c:pt>
                <c:pt idx="56">
                  <c:v>9.1999999999999998E-2</c:v>
                </c:pt>
                <c:pt idx="57">
                  <c:v>0.247</c:v>
                </c:pt>
                <c:pt idx="58">
                  <c:v>0.16900000000000001</c:v>
                </c:pt>
                <c:pt idx="59">
                  <c:v>0.28599999999999998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0-4D06-835E-7B08F1D3E9F1}"/>
            </c:ext>
          </c:extLst>
        </c:ser>
        <c:ser>
          <c:idx val="1"/>
          <c:order val="1"/>
          <c:tx>
            <c:strRef>
              <c:f>'keystroke specific'!$AN$70</c:f>
              <c:strCache>
                <c:ptCount val="1"/>
                <c:pt idx="0">
                  <c:v>Impostor Max_Z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specific'!$AN$71:$AN$130</c:f>
              <c:numCache>
                <c:formatCode>General</c:formatCode>
                <c:ptCount val="60"/>
                <c:pt idx="0">
                  <c:v>0.191</c:v>
                </c:pt>
                <c:pt idx="1">
                  <c:v>12.323</c:v>
                </c:pt>
                <c:pt idx="2">
                  <c:v>0.90500000000000003</c:v>
                </c:pt>
                <c:pt idx="3">
                  <c:v>1.1379999999999999</c:v>
                </c:pt>
                <c:pt idx="4">
                  <c:v>1.712</c:v>
                </c:pt>
                <c:pt idx="5">
                  <c:v>0.23799999999999999</c:v>
                </c:pt>
                <c:pt idx="6">
                  <c:v>0.63800000000000001</c:v>
                </c:pt>
                <c:pt idx="7">
                  <c:v>2.1579999999999999</c:v>
                </c:pt>
                <c:pt idx="8">
                  <c:v>1.113</c:v>
                </c:pt>
                <c:pt idx="9">
                  <c:v>1.5469999999999999</c:v>
                </c:pt>
                <c:pt idx="10">
                  <c:v>3.0489999999999999</c:v>
                </c:pt>
                <c:pt idx="11">
                  <c:v>1.2170000000000001</c:v>
                </c:pt>
                <c:pt idx="12">
                  <c:v>3.3740000000000001</c:v>
                </c:pt>
                <c:pt idx="13">
                  <c:v>0.377</c:v>
                </c:pt>
                <c:pt idx="14">
                  <c:v>1.294</c:v>
                </c:pt>
                <c:pt idx="15">
                  <c:v>1.212</c:v>
                </c:pt>
                <c:pt idx="16">
                  <c:v>1.262</c:v>
                </c:pt>
                <c:pt idx="17">
                  <c:v>2.0489999999999999</c:v>
                </c:pt>
                <c:pt idx="18">
                  <c:v>1.5169999999999999</c:v>
                </c:pt>
                <c:pt idx="19">
                  <c:v>3.3740000000000001</c:v>
                </c:pt>
                <c:pt idx="20">
                  <c:v>1.0880000000000001</c:v>
                </c:pt>
                <c:pt idx="21">
                  <c:v>0.79600000000000004</c:v>
                </c:pt>
                <c:pt idx="22">
                  <c:v>0.83799999999999997</c:v>
                </c:pt>
                <c:pt idx="23">
                  <c:v>1.0880000000000001</c:v>
                </c:pt>
                <c:pt idx="24">
                  <c:v>0.79600000000000004</c:v>
                </c:pt>
                <c:pt idx="25">
                  <c:v>1.4410000000000001</c:v>
                </c:pt>
                <c:pt idx="26">
                  <c:v>1.2170000000000001</c:v>
                </c:pt>
                <c:pt idx="27">
                  <c:v>0.79600000000000004</c:v>
                </c:pt>
                <c:pt idx="28">
                  <c:v>1.4410000000000001</c:v>
                </c:pt>
                <c:pt idx="29">
                  <c:v>1.2170000000000001</c:v>
                </c:pt>
                <c:pt idx="30">
                  <c:v>0.63100000000000001</c:v>
                </c:pt>
                <c:pt idx="31">
                  <c:v>6.0709999999999997</c:v>
                </c:pt>
                <c:pt idx="32">
                  <c:v>0.65100000000000002</c:v>
                </c:pt>
                <c:pt idx="33">
                  <c:v>1.091</c:v>
                </c:pt>
                <c:pt idx="34">
                  <c:v>1.157</c:v>
                </c:pt>
                <c:pt idx="35">
                  <c:v>0.77</c:v>
                </c:pt>
                <c:pt idx="36">
                  <c:v>1.111</c:v>
                </c:pt>
                <c:pt idx="37">
                  <c:v>0.41499999999999998</c:v>
                </c:pt>
                <c:pt idx="38">
                  <c:v>0.67100000000000004</c:v>
                </c:pt>
                <c:pt idx="39">
                  <c:v>0.71699999999999997</c:v>
                </c:pt>
                <c:pt idx="40">
                  <c:v>2.2160000000000002</c:v>
                </c:pt>
                <c:pt idx="41">
                  <c:v>0.53</c:v>
                </c:pt>
                <c:pt idx="42">
                  <c:v>0.76100000000000001</c:v>
                </c:pt>
                <c:pt idx="43">
                  <c:v>0.55200000000000005</c:v>
                </c:pt>
                <c:pt idx="44">
                  <c:v>0.68799999999999994</c:v>
                </c:pt>
                <c:pt idx="45">
                  <c:v>3.51</c:v>
                </c:pt>
                <c:pt idx="46">
                  <c:v>0.629</c:v>
                </c:pt>
                <c:pt idx="47">
                  <c:v>0.56399999999999995</c:v>
                </c:pt>
                <c:pt idx="48">
                  <c:v>0.4</c:v>
                </c:pt>
                <c:pt idx="49">
                  <c:v>0.59699999999999998</c:v>
                </c:pt>
                <c:pt idx="50">
                  <c:v>1.9490000000000001</c:v>
                </c:pt>
                <c:pt idx="51">
                  <c:v>1.7490000000000001</c:v>
                </c:pt>
                <c:pt idx="52">
                  <c:v>3.33</c:v>
                </c:pt>
                <c:pt idx="53">
                  <c:v>2.4319999999999999</c:v>
                </c:pt>
                <c:pt idx="54">
                  <c:v>2.335</c:v>
                </c:pt>
                <c:pt idx="55">
                  <c:v>4.5839999999999996</c:v>
                </c:pt>
                <c:pt idx="56">
                  <c:v>1.488</c:v>
                </c:pt>
                <c:pt idx="57">
                  <c:v>1.629</c:v>
                </c:pt>
                <c:pt idx="58">
                  <c:v>1.625</c:v>
                </c:pt>
                <c:pt idx="59">
                  <c:v>1.7410000000000001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B0-4D06-835E-7B08F1D3E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677823"/>
        <c:axId val="497678303"/>
      </c:scatterChart>
      <c:valAx>
        <c:axId val="49767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Threshold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78303"/>
        <c:crosses val="autoZero"/>
        <c:crossBetween val="midCat"/>
        <c:majorUnit val="0.1"/>
      </c:valAx>
      <c:valAx>
        <c:axId val="497678303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Max Z Score 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7782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Keystrokes: Genuine &amp; Impostor Average Z, Max Z Values with Thresholds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'keystroke specific'!$AJ$70</c:f>
              <c:strCache>
                <c:ptCount val="1"/>
                <c:pt idx="0">
                  <c:v>Genuine 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specific'!$AJ$71:$AJ$130</c:f>
              <c:numCache>
                <c:formatCode>General</c:formatCode>
                <c:ptCount val="60"/>
                <c:pt idx="0">
                  <c:v>0.26500000000000001</c:v>
                </c:pt>
                <c:pt idx="1">
                  <c:v>0.159</c:v>
                </c:pt>
                <c:pt idx="2">
                  <c:v>0.373</c:v>
                </c:pt>
                <c:pt idx="3">
                  <c:v>0.28699999999999998</c:v>
                </c:pt>
                <c:pt idx="4">
                  <c:v>0.33700000000000002</c:v>
                </c:pt>
                <c:pt idx="5">
                  <c:v>0.13600000000000001</c:v>
                </c:pt>
                <c:pt idx="6">
                  <c:v>0.129</c:v>
                </c:pt>
                <c:pt idx="7">
                  <c:v>0.17899999999999999</c:v>
                </c:pt>
                <c:pt idx="8">
                  <c:v>0.22800000000000001</c:v>
                </c:pt>
                <c:pt idx="9">
                  <c:v>0.14399999999999999</c:v>
                </c:pt>
                <c:pt idx="10">
                  <c:v>0.124</c:v>
                </c:pt>
                <c:pt idx="11">
                  <c:v>0.15</c:v>
                </c:pt>
                <c:pt idx="12">
                  <c:v>0.13500000000000001</c:v>
                </c:pt>
                <c:pt idx="13">
                  <c:v>0.14699999999999999</c:v>
                </c:pt>
                <c:pt idx="14">
                  <c:v>0.31</c:v>
                </c:pt>
                <c:pt idx="15">
                  <c:v>0.254</c:v>
                </c:pt>
                <c:pt idx="16">
                  <c:v>0.09</c:v>
                </c:pt>
                <c:pt idx="17">
                  <c:v>0.154</c:v>
                </c:pt>
                <c:pt idx="18">
                  <c:v>0.249</c:v>
                </c:pt>
                <c:pt idx="19">
                  <c:v>0.35</c:v>
                </c:pt>
                <c:pt idx="20">
                  <c:v>4.7E-2</c:v>
                </c:pt>
                <c:pt idx="21">
                  <c:v>0.129</c:v>
                </c:pt>
                <c:pt idx="22">
                  <c:v>6.7000000000000004E-2</c:v>
                </c:pt>
                <c:pt idx="23">
                  <c:v>0.22900000000000001</c:v>
                </c:pt>
                <c:pt idx="24">
                  <c:v>0.13200000000000001</c:v>
                </c:pt>
                <c:pt idx="25">
                  <c:v>0.22800000000000001</c:v>
                </c:pt>
                <c:pt idx="26">
                  <c:v>3.5999999999999997E-2</c:v>
                </c:pt>
                <c:pt idx="27">
                  <c:v>0.92100000000000004</c:v>
                </c:pt>
                <c:pt idx="28">
                  <c:v>0.67800000000000005</c:v>
                </c:pt>
                <c:pt idx="29">
                  <c:v>0.61599999999999999</c:v>
                </c:pt>
                <c:pt idx="30">
                  <c:v>0.26</c:v>
                </c:pt>
                <c:pt idx="31">
                  <c:v>4.5999999999999999E-2</c:v>
                </c:pt>
                <c:pt idx="32">
                  <c:v>0.28199999999999997</c:v>
                </c:pt>
                <c:pt idx="33">
                  <c:v>0.157</c:v>
                </c:pt>
                <c:pt idx="34">
                  <c:v>0.32200000000000001</c:v>
                </c:pt>
                <c:pt idx="35">
                  <c:v>0.219</c:v>
                </c:pt>
                <c:pt idx="36">
                  <c:v>0.248</c:v>
                </c:pt>
                <c:pt idx="37">
                  <c:v>9.1790000000000003</c:v>
                </c:pt>
                <c:pt idx="38">
                  <c:v>0.17699999999999999</c:v>
                </c:pt>
                <c:pt idx="39">
                  <c:v>0.25800000000000001</c:v>
                </c:pt>
                <c:pt idx="40">
                  <c:v>0.16</c:v>
                </c:pt>
                <c:pt idx="41">
                  <c:v>0.24199999999999999</c:v>
                </c:pt>
                <c:pt idx="42">
                  <c:v>0.35299999999999998</c:v>
                </c:pt>
                <c:pt idx="43">
                  <c:v>0.14799999999999999</c:v>
                </c:pt>
                <c:pt idx="44">
                  <c:v>0.111</c:v>
                </c:pt>
                <c:pt idx="45">
                  <c:v>7.9000000000000001E-2</c:v>
                </c:pt>
                <c:pt idx="46">
                  <c:v>6.6000000000000003E-2</c:v>
                </c:pt>
                <c:pt idx="47">
                  <c:v>0.29599999999999999</c:v>
                </c:pt>
                <c:pt idx="48">
                  <c:v>0.29599999999999999</c:v>
                </c:pt>
                <c:pt idx="49">
                  <c:v>0.25600000000000001</c:v>
                </c:pt>
                <c:pt idx="50">
                  <c:v>8.5000000000000006E-2</c:v>
                </c:pt>
                <c:pt idx="51">
                  <c:v>0.23899999999999999</c:v>
                </c:pt>
                <c:pt idx="52">
                  <c:v>6.8000000000000005E-2</c:v>
                </c:pt>
                <c:pt idx="53">
                  <c:v>0.189</c:v>
                </c:pt>
                <c:pt idx="54">
                  <c:v>0.307</c:v>
                </c:pt>
                <c:pt idx="55">
                  <c:v>0.30099999999999999</c:v>
                </c:pt>
                <c:pt idx="56">
                  <c:v>8.5000000000000006E-2</c:v>
                </c:pt>
                <c:pt idx="57">
                  <c:v>0.193</c:v>
                </c:pt>
                <c:pt idx="58">
                  <c:v>0.13300000000000001</c:v>
                </c:pt>
                <c:pt idx="59">
                  <c:v>0.16900000000000001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B-40E1-A009-C7F32F68F5E3}"/>
            </c:ext>
          </c:extLst>
        </c:ser>
        <c:ser>
          <c:idx val="1"/>
          <c:order val="1"/>
          <c:tx>
            <c:strRef>
              <c:f>'keystroke specific'!$AK$70</c:f>
              <c:strCache>
                <c:ptCount val="1"/>
                <c:pt idx="0">
                  <c:v>Impostor Avg_Z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specific'!$AK$71:$AK$130</c:f>
              <c:numCache>
                <c:formatCode>General</c:formatCode>
                <c:ptCount val="60"/>
                <c:pt idx="0">
                  <c:v>0.13900000000000001</c:v>
                </c:pt>
                <c:pt idx="1">
                  <c:v>3.6070000000000002</c:v>
                </c:pt>
                <c:pt idx="2">
                  <c:v>0.63900000000000001</c:v>
                </c:pt>
                <c:pt idx="3">
                  <c:v>0.93200000000000005</c:v>
                </c:pt>
                <c:pt idx="4">
                  <c:v>1.4350000000000001</c:v>
                </c:pt>
                <c:pt idx="5">
                  <c:v>0.17399999999999999</c:v>
                </c:pt>
                <c:pt idx="6">
                  <c:v>0.58499999999999996</c:v>
                </c:pt>
                <c:pt idx="7">
                  <c:v>0.92400000000000004</c:v>
                </c:pt>
                <c:pt idx="8">
                  <c:v>0.78300000000000003</c:v>
                </c:pt>
                <c:pt idx="9">
                  <c:v>1.264</c:v>
                </c:pt>
                <c:pt idx="10">
                  <c:v>1.3819999999999999</c:v>
                </c:pt>
                <c:pt idx="11">
                  <c:v>1.089</c:v>
                </c:pt>
                <c:pt idx="12">
                  <c:v>2.89</c:v>
                </c:pt>
                <c:pt idx="13">
                  <c:v>0.16700000000000001</c:v>
                </c:pt>
                <c:pt idx="14">
                  <c:v>1.1299999999999999</c:v>
                </c:pt>
                <c:pt idx="15">
                  <c:v>1.0680000000000001</c:v>
                </c:pt>
                <c:pt idx="16">
                  <c:v>0.96499999999999997</c:v>
                </c:pt>
                <c:pt idx="17">
                  <c:v>1.6220000000000001</c:v>
                </c:pt>
                <c:pt idx="18">
                  <c:v>1.016</c:v>
                </c:pt>
                <c:pt idx="19">
                  <c:v>2.65</c:v>
                </c:pt>
                <c:pt idx="20">
                  <c:v>0.95499999999999996</c:v>
                </c:pt>
                <c:pt idx="21">
                  <c:v>0.45900000000000002</c:v>
                </c:pt>
                <c:pt idx="22">
                  <c:v>0.76</c:v>
                </c:pt>
                <c:pt idx="23">
                  <c:v>0.95499999999999996</c:v>
                </c:pt>
                <c:pt idx="24">
                  <c:v>0.45900000000000002</c:v>
                </c:pt>
                <c:pt idx="25">
                  <c:v>0.55200000000000005</c:v>
                </c:pt>
                <c:pt idx="26">
                  <c:v>0.94499999999999995</c:v>
                </c:pt>
                <c:pt idx="27">
                  <c:v>0.45900000000000002</c:v>
                </c:pt>
                <c:pt idx="28">
                  <c:v>0.55200000000000005</c:v>
                </c:pt>
                <c:pt idx="29">
                  <c:v>0.94499999999999995</c:v>
                </c:pt>
                <c:pt idx="30">
                  <c:v>0.58399999999999996</c:v>
                </c:pt>
                <c:pt idx="31">
                  <c:v>1.9770000000000001</c:v>
                </c:pt>
                <c:pt idx="32">
                  <c:v>0.58599999999999997</c:v>
                </c:pt>
                <c:pt idx="33">
                  <c:v>0.60399999999999998</c:v>
                </c:pt>
                <c:pt idx="34">
                  <c:v>0.63200000000000001</c:v>
                </c:pt>
                <c:pt idx="35">
                  <c:v>0.52900000000000003</c:v>
                </c:pt>
                <c:pt idx="36">
                  <c:v>0.433</c:v>
                </c:pt>
                <c:pt idx="37">
                  <c:v>0.376</c:v>
                </c:pt>
                <c:pt idx="38">
                  <c:v>0.46700000000000003</c:v>
                </c:pt>
                <c:pt idx="39">
                  <c:v>0.56299999999999994</c:v>
                </c:pt>
                <c:pt idx="40">
                  <c:v>0.86699999999999999</c:v>
                </c:pt>
                <c:pt idx="41">
                  <c:v>0.49</c:v>
                </c:pt>
                <c:pt idx="42">
                  <c:v>0.34799999999999998</c:v>
                </c:pt>
                <c:pt idx="43">
                  <c:v>0.41099999999999998</c:v>
                </c:pt>
                <c:pt idx="44">
                  <c:v>0.54</c:v>
                </c:pt>
                <c:pt idx="45">
                  <c:v>1.2629999999999999</c:v>
                </c:pt>
                <c:pt idx="46">
                  <c:v>0.52</c:v>
                </c:pt>
                <c:pt idx="47">
                  <c:v>0.46899999999999997</c:v>
                </c:pt>
                <c:pt idx="48">
                  <c:v>0.11</c:v>
                </c:pt>
                <c:pt idx="49">
                  <c:v>0.55700000000000005</c:v>
                </c:pt>
                <c:pt idx="50">
                  <c:v>0.63700000000000001</c:v>
                </c:pt>
                <c:pt idx="51">
                  <c:v>0.53700000000000003</c:v>
                </c:pt>
                <c:pt idx="52">
                  <c:v>0.91300000000000003</c:v>
                </c:pt>
                <c:pt idx="53">
                  <c:v>0.83399999999999996</c:v>
                </c:pt>
                <c:pt idx="54">
                  <c:v>0.73599999999999999</c:v>
                </c:pt>
                <c:pt idx="55">
                  <c:v>1.248</c:v>
                </c:pt>
                <c:pt idx="56">
                  <c:v>0.53600000000000003</c:v>
                </c:pt>
                <c:pt idx="57">
                  <c:v>1.548</c:v>
                </c:pt>
                <c:pt idx="58">
                  <c:v>0.432</c:v>
                </c:pt>
                <c:pt idx="59">
                  <c:v>0.56699999999999995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5B-40E1-A009-C7F32F68F5E3}"/>
            </c:ext>
          </c:extLst>
        </c:ser>
        <c:ser>
          <c:idx val="2"/>
          <c:order val="2"/>
          <c:tx>
            <c:strRef>
              <c:f>'keystroke specific'!$AL$70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specific'!$AL$71:$AL$130</c:f>
              <c:numCache>
                <c:formatCode>General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5B-40E1-A009-C7F32F68F5E3}"/>
            </c:ext>
          </c:extLst>
        </c:ser>
        <c:ser>
          <c:idx val="3"/>
          <c:order val="3"/>
          <c:tx>
            <c:strRef>
              <c:f>'keystroke specific'!$AM$70</c:f>
              <c:strCache>
                <c:ptCount val="1"/>
                <c:pt idx="0">
                  <c:v>Genuine 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FFFF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specific'!$AM$71:$AM$130</c:f>
              <c:numCache>
                <c:formatCode>General</c:formatCode>
                <c:ptCount val="60"/>
                <c:pt idx="0">
                  <c:v>0.32200000000000001</c:v>
                </c:pt>
                <c:pt idx="1">
                  <c:v>0.20599999999999999</c:v>
                </c:pt>
                <c:pt idx="2">
                  <c:v>0.50700000000000001</c:v>
                </c:pt>
                <c:pt idx="3">
                  <c:v>0.36699999999999999</c:v>
                </c:pt>
                <c:pt idx="4">
                  <c:v>0.38200000000000001</c:v>
                </c:pt>
                <c:pt idx="5">
                  <c:v>0.308</c:v>
                </c:pt>
                <c:pt idx="6">
                  <c:v>0.42</c:v>
                </c:pt>
                <c:pt idx="7">
                  <c:v>0.314</c:v>
                </c:pt>
                <c:pt idx="8">
                  <c:v>0.33400000000000002</c:v>
                </c:pt>
                <c:pt idx="9">
                  <c:v>0.23400000000000001</c:v>
                </c:pt>
                <c:pt idx="10">
                  <c:v>0.20799999999999999</c:v>
                </c:pt>
                <c:pt idx="11">
                  <c:v>0.157</c:v>
                </c:pt>
                <c:pt idx="12">
                  <c:v>0.30499999999999999</c:v>
                </c:pt>
                <c:pt idx="13">
                  <c:v>0.23</c:v>
                </c:pt>
                <c:pt idx="14">
                  <c:v>0.438</c:v>
                </c:pt>
                <c:pt idx="15">
                  <c:v>0.34899999999999998</c:v>
                </c:pt>
                <c:pt idx="16">
                  <c:v>0.188</c:v>
                </c:pt>
                <c:pt idx="17">
                  <c:v>0.20200000000000001</c:v>
                </c:pt>
                <c:pt idx="18">
                  <c:v>0.42499999999999999</c:v>
                </c:pt>
                <c:pt idx="19">
                  <c:v>0.41</c:v>
                </c:pt>
                <c:pt idx="20">
                  <c:v>7.0999999999999994E-2</c:v>
                </c:pt>
                <c:pt idx="21">
                  <c:v>0.14000000000000001</c:v>
                </c:pt>
                <c:pt idx="22">
                  <c:v>0.14599999999999999</c:v>
                </c:pt>
                <c:pt idx="23">
                  <c:v>0.27600000000000002</c:v>
                </c:pt>
                <c:pt idx="24">
                  <c:v>0.27900000000000003</c:v>
                </c:pt>
                <c:pt idx="25">
                  <c:v>0.40400000000000003</c:v>
                </c:pt>
                <c:pt idx="26">
                  <c:v>9.6000000000000002E-2</c:v>
                </c:pt>
                <c:pt idx="27">
                  <c:v>1.341</c:v>
                </c:pt>
                <c:pt idx="28">
                  <c:v>0.89500000000000002</c:v>
                </c:pt>
                <c:pt idx="29">
                  <c:v>0.83699999999999997</c:v>
                </c:pt>
                <c:pt idx="30">
                  <c:v>0.33700000000000002</c:v>
                </c:pt>
                <c:pt idx="31">
                  <c:v>7.2999999999999995E-2</c:v>
                </c:pt>
                <c:pt idx="32">
                  <c:v>0.42199999999999999</c:v>
                </c:pt>
                <c:pt idx="33">
                  <c:v>0.39100000000000001</c:v>
                </c:pt>
                <c:pt idx="34">
                  <c:v>0.38500000000000001</c:v>
                </c:pt>
                <c:pt idx="35">
                  <c:v>0.29499999999999998</c:v>
                </c:pt>
                <c:pt idx="36">
                  <c:v>0.28999999999999998</c:v>
                </c:pt>
                <c:pt idx="37">
                  <c:v>35.81</c:v>
                </c:pt>
                <c:pt idx="38">
                  <c:v>0.22500000000000001</c:v>
                </c:pt>
                <c:pt idx="39">
                  <c:v>0.57399999999999995</c:v>
                </c:pt>
                <c:pt idx="40">
                  <c:v>0.21099999999999999</c:v>
                </c:pt>
                <c:pt idx="41">
                  <c:v>0.40200000000000002</c:v>
                </c:pt>
                <c:pt idx="42">
                  <c:v>0.48299999999999998</c:v>
                </c:pt>
                <c:pt idx="43">
                  <c:v>0.26300000000000001</c:v>
                </c:pt>
                <c:pt idx="44">
                  <c:v>0.41199999999999998</c:v>
                </c:pt>
                <c:pt idx="45">
                  <c:v>0.21199999999999999</c:v>
                </c:pt>
                <c:pt idx="46">
                  <c:v>0.23100000000000001</c:v>
                </c:pt>
                <c:pt idx="47">
                  <c:v>0.72299999999999998</c:v>
                </c:pt>
                <c:pt idx="48">
                  <c:v>0.72299999999999998</c:v>
                </c:pt>
                <c:pt idx="49">
                  <c:v>0.37</c:v>
                </c:pt>
                <c:pt idx="50">
                  <c:v>0.379</c:v>
                </c:pt>
                <c:pt idx="51">
                  <c:v>0.34200000000000003</c:v>
                </c:pt>
                <c:pt idx="52">
                  <c:v>9.1999999999999998E-2</c:v>
                </c:pt>
                <c:pt idx="53">
                  <c:v>0.218</c:v>
                </c:pt>
                <c:pt idx="54">
                  <c:v>0.379</c:v>
                </c:pt>
                <c:pt idx="55">
                  <c:v>0.33800000000000002</c:v>
                </c:pt>
                <c:pt idx="56">
                  <c:v>9.1999999999999998E-2</c:v>
                </c:pt>
                <c:pt idx="57">
                  <c:v>0.247</c:v>
                </c:pt>
                <c:pt idx="58">
                  <c:v>0.16900000000000001</c:v>
                </c:pt>
                <c:pt idx="59">
                  <c:v>0.28599999999999998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5B-40E1-A009-C7F32F68F5E3}"/>
            </c:ext>
          </c:extLst>
        </c:ser>
        <c:ser>
          <c:idx val="4"/>
          <c:order val="4"/>
          <c:tx>
            <c:strRef>
              <c:f>'keystroke specific'!$AN$70</c:f>
              <c:strCache>
                <c:ptCount val="1"/>
                <c:pt idx="0">
                  <c:v>Impostor Max_Z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'keystroke specific'!$AI$71:$AI$130</c:f>
              <c:numCache>
                <c:formatCode>0.000</c:formatCode>
                <c:ptCount val="60"/>
                <c:pt idx="0">
                  <c:v>0.1</c:v>
                </c:pt>
                <c:pt idx="1">
                  <c:v>0.11</c:v>
                </c:pt>
                <c:pt idx="2">
                  <c:v>0.123</c:v>
                </c:pt>
                <c:pt idx="3">
                  <c:v>0.13600000000000001</c:v>
                </c:pt>
                <c:pt idx="4">
                  <c:v>0.14900000000000002</c:v>
                </c:pt>
                <c:pt idx="5">
                  <c:v>0.16200000000000003</c:v>
                </c:pt>
                <c:pt idx="6">
                  <c:v>0.17500000000000004</c:v>
                </c:pt>
                <c:pt idx="7">
                  <c:v>0.18800000000000006</c:v>
                </c:pt>
                <c:pt idx="8">
                  <c:v>0.20100000000000007</c:v>
                </c:pt>
                <c:pt idx="9">
                  <c:v>0.21400000000000008</c:v>
                </c:pt>
                <c:pt idx="10">
                  <c:v>0.22700000000000009</c:v>
                </c:pt>
                <c:pt idx="11">
                  <c:v>0.2400000000000001</c:v>
                </c:pt>
                <c:pt idx="12">
                  <c:v>0.25300000000000011</c:v>
                </c:pt>
                <c:pt idx="13">
                  <c:v>0.26600000000000013</c:v>
                </c:pt>
                <c:pt idx="14">
                  <c:v>0.27900000000000014</c:v>
                </c:pt>
                <c:pt idx="15">
                  <c:v>0.29200000000000015</c:v>
                </c:pt>
                <c:pt idx="16">
                  <c:v>0.30500000000000016</c:v>
                </c:pt>
                <c:pt idx="17">
                  <c:v>0.31800000000000017</c:v>
                </c:pt>
                <c:pt idx="18">
                  <c:v>0.33100000000000018</c:v>
                </c:pt>
                <c:pt idx="19">
                  <c:v>0.34400000000000019</c:v>
                </c:pt>
                <c:pt idx="20">
                  <c:v>0.35700000000000021</c:v>
                </c:pt>
                <c:pt idx="21">
                  <c:v>0.37000000000000022</c:v>
                </c:pt>
                <c:pt idx="22">
                  <c:v>0.38300000000000023</c:v>
                </c:pt>
                <c:pt idx="23">
                  <c:v>0.39600000000000024</c:v>
                </c:pt>
                <c:pt idx="24">
                  <c:v>0.40900000000000025</c:v>
                </c:pt>
                <c:pt idx="25">
                  <c:v>0.42200000000000026</c:v>
                </c:pt>
                <c:pt idx="26">
                  <c:v>0.43500000000000028</c:v>
                </c:pt>
                <c:pt idx="27">
                  <c:v>0.44800000000000029</c:v>
                </c:pt>
                <c:pt idx="28">
                  <c:v>0.4610000000000003</c:v>
                </c:pt>
                <c:pt idx="29">
                  <c:v>0.47400000000000031</c:v>
                </c:pt>
                <c:pt idx="30">
                  <c:v>0.48700000000000032</c:v>
                </c:pt>
                <c:pt idx="31">
                  <c:v>0.50000000000000033</c:v>
                </c:pt>
                <c:pt idx="32">
                  <c:v>0.51300000000000034</c:v>
                </c:pt>
                <c:pt idx="33">
                  <c:v>0.52600000000000036</c:v>
                </c:pt>
                <c:pt idx="34">
                  <c:v>0.53900000000000037</c:v>
                </c:pt>
                <c:pt idx="35">
                  <c:v>0.55200000000000038</c:v>
                </c:pt>
                <c:pt idx="36">
                  <c:v>0.56500000000000039</c:v>
                </c:pt>
                <c:pt idx="37">
                  <c:v>0.5780000000000004</c:v>
                </c:pt>
                <c:pt idx="38">
                  <c:v>0.59100000000000041</c:v>
                </c:pt>
                <c:pt idx="39">
                  <c:v>0.60400000000000043</c:v>
                </c:pt>
                <c:pt idx="40">
                  <c:v>0.61700000000000044</c:v>
                </c:pt>
                <c:pt idx="41">
                  <c:v>0.63000000000000045</c:v>
                </c:pt>
                <c:pt idx="42">
                  <c:v>0.64300000000000046</c:v>
                </c:pt>
                <c:pt idx="43">
                  <c:v>0.65600000000000047</c:v>
                </c:pt>
                <c:pt idx="44">
                  <c:v>0.66900000000000048</c:v>
                </c:pt>
                <c:pt idx="45">
                  <c:v>0.68200000000000049</c:v>
                </c:pt>
                <c:pt idx="46">
                  <c:v>0.69500000000000051</c:v>
                </c:pt>
                <c:pt idx="47">
                  <c:v>0.70800000000000052</c:v>
                </c:pt>
                <c:pt idx="48">
                  <c:v>0.72100000000000053</c:v>
                </c:pt>
                <c:pt idx="49">
                  <c:v>0.73400000000000054</c:v>
                </c:pt>
                <c:pt idx="50">
                  <c:v>0.74700000000000055</c:v>
                </c:pt>
                <c:pt idx="51">
                  <c:v>0.76000000000000056</c:v>
                </c:pt>
                <c:pt idx="52">
                  <c:v>0.77300000000000058</c:v>
                </c:pt>
                <c:pt idx="53">
                  <c:v>0.78600000000000059</c:v>
                </c:pt>
                <c:pt idx="54">
                  <c:v>0.7990000000000006</c:v>
                </c:pt>
                <c:pt idx="55">
                  <c:v>0.81200000000000061</c:v>
                </c:pt>
                <c:pt idx="56">
                  <c:v>0.82500000000000062</c:v>
                </c:pt>
                <c:pt idx="57">
                  <c:v>0.83800000000000063</c:v>
                </c:pt>
                <c:pt idx="58">
                  <c:v>0.85100000000000064</c:v>
                </c:pt>
                <c:pt idx="59">
                  <c:v>0.86400000000000066</c:v>
                </c:pt>
              </c:numCache>
            </c:numRef>
          </c:xVal>
          <c:yVal>
            <c:numRef>
              <c:f>'keystroke specific'!$AN$71:$AN$130</c:f>
              <c:numCache>
                <c:formatCode>General</c:formatCode>
                <c:ptCount val="60"/>
                <c:pt idx="0">
                  <c:v>0.191</c:v>
                </c:pt>
                <c:pt idx="1">
                  <c:v>12.323</c:v>
                </c:pt>
                <c:pt idx="2">
                  <c:v>0.90500000000000003</c:v>
                </c:pt>
                <c:pt idx="3">
                  <c:v>1.1379999999999999</c:v>
                </c:pt>
                <c:pt idx="4">
                  <c:v>1.712</c:v>
                </c:pt>
                <c:pt idx="5">
                  <c:v>0.23799999999999999</c:v>
                </c:pt>
                <c:pt idx="6">
                  <c:v>0.63800000000000001</c:v>
                </c:pt>
                <c:pt idx="7">
                  <c:v>2.1579999999999999</c:v>
                </c:pt>
                <c:pt idx="8">
                  <c:v>1.113</c:v>
                </c:pt>
                <c:pt idx="9">
                  <c:v>1.5469999999999999</c:v>
                </c:pt>
                <c:pt idx="10">
                  <c:v>3.0489999999999999</c:v>
                </c:pt>
                <c:pt idx="11">
                  <c:v>1.2170000000000001</c:v>
                </c:pt>
                <c:pt idx="12">
                  <c:v>3.3740000000000001</c:v>
                </c:pt>
                <c:pt idx="13">
                  <c:v>0.377</c:v>
                </c:pt>
                <c:pt idx="14">
                  <c:v>1.294</c:v>
                </c:pt>
                <c:pt idx="15">
                  <c:v>1.212</c:v>
                </c:pt>
                <c:pt idx="16">
                  <c:v>1.262</c:v>
                </c:pt>
                <c:pt idx="17">
                  <c:v>2.0489999999999999</c:v>
                </c:pt>
                <c:pt idx="18">
                  <c:v>1.5169999999999999</c:v>
                </c:pt>
                <c:pt idx="19">
                  <c:v>3.3740000000000001</c:v>
                </c:pt>
                <c:pt idx="20">
                  <c:v>1.0880000000000001</c:v>
                </c:pt>
                <c:pt idx="21">
                  <c:v>0.79600000000000004</c:v>
                </c:pt>
                <c:pt idx="22">
                  <c:v>0.83799999999999997</c:v>
                </c:pt>
                <c:pt idx="23">
                  <c:v>1.0880000000000001</c:v>
                </c:pt>
                <c:pt idx="24">
                  <c:v>0.79600000000000004</c:v>
                </c:pt>
                <c:pt idx="25">
                  <c:v>1.4410000000000001</c:v>
                </c:pt>
                <c:pt idx="26">
                  <c:v>1.2170000000000001</c:v>
                </c:pt>
                <c:pt idx="27">
                  <c:v>0.79600000000000004</c:v>
                </c:pt>
                <c:pt idx="28">
                  <c:v>1.4410000000000001</c:v>
                </c:pt>
                <c:pt idx="29">
                  <c:v>1.2170000000000001</c:v>
                </c:pt>
                <c:pt idx="30">
                  <c:v>0.63100000000000001</c:v>
                </c:pt>
                <c:pt idx="31">
                  <c:v>6.0709999999999997</c:v>
                </c:pt>
                <c:pt idx="32">
                  <c:v>0.65100000000000002</c:v>
                </c:pt>
                <c:pt idx="33">
                  <c:v>1.091</c:v>
                </c:pt>
                <c:pt idx="34">
                  <c:v>1.157</c:v>
                </c:pt>
                <c:pt idx="35">
                  <c:v>0.77</c:v>
                </c:pt>
                <c:pt idx="36">
                  <c:v>1.111</c:v>
                </c:pt>
                <c:pt idx="37">
                  <c:v>0.41499999999999998</c:v>
                </c:pt>
                <c:pt idx="38">
                  <c:v>0.67100000000000004</c:v>
                </c:pt>
                <c:pt idx="39">
                  <c:v>0.71699999999999997</c:v>
                </c:pt>
                <c:pt idx="40">
                  <c:v>2.2160000000000002</c:v>
                </c:pt>
                <c:pt idx="41">
                  <c:v>0.53</c:v>
                </c:pt>
                <c:pt idx="42">
                  <c:v>0.76100000000000001</c:v>
                </c:pt>
                <c:pt idx="43">
                  <c:v>0.55200000000000005</c:v>
                </c:pt>
                <c:pt idx="44">
                  <c:v>0.68799999999999994</c:v>
                </c:pt>
                <c:pt idx="45">
                  <c:v>3.51</c:v>
                </c:pt>
                <c:pt idx="46">
                  <c:v>0.629</c:v>
                </c:pt>
                <c:pt idx="47">
                  <c:v>0.56399999999999995</c:v>
                </c:pt>
                <c:pt idx="48">
                  <c:v>0.4</c:v>
                </c:pt>
                <c:pt idx="49">
                  <c:v>0.59699999999999998</c:v>
                </c:pt>
                <c:pt idx="50">
                  <c:v>1.9490000000000001</c:v>
                </c:pt>
                <c:pt idx="51">
                  <c:v>1.7490000000000001</c:v>
                </c:pt>
                <c:pt idx="52">
                  <c:v>3.33</c:v>
                </c:pt>
                <c:pt idx="53">
                  <c:v>2.4319999999999999</c:v>
                </c:pt>
                <c:pt idx="54">
                  <c:v>2.335</c:v>
                </c:pt>
                <c:pt idx="55">
                  <c:v>4.5839999999999996</c:v>
                </c:pt>
                <c:pt idx="56">
                  <c:v>1.488</c:v>
                </c:pt>
                <c:pt idx="57">
                  <c:v>1.629</c:v>
                </c:pt>
                <c:pt idx="58">
                  <c:v>1.625</c:v>
                </c:pt>
                <c:pt idx="59">
                  <c:v>1.7410000000000001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5B-40E1-A009-C7F32F68F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039791"/>
        <c:axId val="1568036911"/>
      </c:scatterChart>
      <c:valAx>
        <c:axId val="156803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Z-Score Threshold Scale</a:t>
                </a:r>
              </a:p>
            </c:rich>
          </c:tx>
          <c:layout>
            <c:manualLayout>
              <c:xMode val="edge"/>
              <c:yMode val="edge"/>
              <c:x val="0.45614428146777758"/>
              <c:y val="0.91924306182566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36911"/>
        <c:crosses val="autoZero"/>
        <c:crossBetween val="midCat"/>
        <c:majorUnit val="5.000000000000001E-2"/>
      </c:valAx>
      <c:valAx>
        <c:axId val="15680369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Z-Score Average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39791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Distribution of Mouse Average Z-Scores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>
              <a:solidFill>
                <a:schemeClr val="tx1"/>
              </a:solidFill>
            </a:defRPr>
          </a:pPr>
          <a:r>
            <a:rPr lang="en-GB" sz="1400" b="0" i="0" u="none" strike="noStrike" baseline="0">
              <a:solidFill>
                <a:schemeClr val="tx1"/>
              </a:solidFill>
              <a:effectLst/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Distribution of Mouse Average Z-Scores</a:t>
          </a:r>
        </a:p>
      </cx:txPr>
    </cx:title>
    <cx:plotArea>
      <cx:plotAreaRegion>
        <cx:series layoutId="boxWhisker" uniqueId="{181444B3-F973-4252-9FB6-320741EFDE8C}">
          <cx:tx>
            <cx:txData>
              <cx:f>_xlchart.v1.0</cx:f>
              <cx:v>Genuine mouse_avg_z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144C5C09-9E89-4938-99B1-C9EE08FF123D}">
          <cx:tx>
            <cx:txData>
              <cx:f>_xlchart.v1.2</cx:f>
              <cx:v>Impostor mouse_avg_z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>
                    <a:solidFill>
                      <a:schemeClr val="tx1"/>
                    </a:solidFill>
                  </a:defRPr>
                </a:pPr>
                <a:r>
                  <a:rPr lang="en-GB" sz="1200" b="0" i="0" u="none" strike="noStrike" baseline="0">
                    <a:solidFill>
                      <a:schemeClr val="tx1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Attempt Type</a:t>
                </a:r>
                <a:endParaRPr lang="en-GB" sz="1200">
                  <a:solidFill>
                    <a:schemeClr val="tx1"/>
                  </a:solidFill>
                  <a:effectLst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chemeClr val="tx1"/>
              </a:solidFill>
            </a:endParaRPr>
          </a:p>
        </cx:txPr>
      </cx:axis>
      <cx:axis id="1">
        <cx:valScaling max="5"/>
        <cx:title>
          <cx:tx>
            <cx:txData>
              <cx:v>Average Z Score Values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>
                  <a:solidFill>
                    <a:schemeClr val="tx1"/>
                  </a:solidFill>
                </a:defRPr>
              </a:pPr>
              <a:r>
                <a:rPr lang="en-GB" sz="12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Average Z Score Values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chemeClr val="tx1"/>
              </a:solidFill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chemeClr val="tx1"/>
              </a:solidFill>
            </a:defRPr>
          </a:pPr>
          <a:endParaRPr lang="en-GB" sz="1000" b="0" i="0" u="none" strike="noStrike" baseline="0">
            <a:solidFill>
              <a:schemeClr val="tx1"/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tx1"/>
                </a:solidFill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 of Mouse Max Z-Scores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tx1"/>
                </a:solidFill>
              </a:defRPr>
            </a:pPr>
            <a:endParaRPr lang="en-GB" sz="14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92AF950E-36CC-4FB2-9E56-81703DE3D8C4}">
          <cx:tx>
            <cx:txData>
              <cx:f>_xlchart.v1.8</cx:f>
              <cx:v>Genuine mouse_max_z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5B9D6480-3B4A-4E6A-886C-83EC782CF37A}">
          <cx:tx>
            <cx:txData>
              <cx:f>_xlchart.v1.10</cx:f>
              <cx:v>Impostor mouse_max_z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>
                    <a:solidFill>
                      <a:schemeClr val="tx1"/>
                    </a:solidFill>
                  </a:defRPr>
                </a:pPr>
                <a:r>
                  <a:rPr lang="en-GB" sz="1200" b="0" i="0" u="none" strike="noStrike" baseline="0">
                    <a:solidFill>
                      <a:schemeClr val="tx1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Attempt Type</a:t>
                </a:r>
                <a:endParaRPr lang="en-GB" sz="1200">
                  <a:solidFill>
                    <a:schemeClr val="tx1"/>
                  </a:solidFill>
                  <a:effectLst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chemeClr val="tx1"/>
              </a:solidFill>
            </a:endParaRPr>
          </a:p>
        </cx:txPr>
      </cx:axis>
      <cx:axis id="1">
        <cx:valScaling max="9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50">
                    <a:solidFill>
                      <a:schemeClr val="tx1"/>
                    </a:solidFill>
                  </a:defRPr>
                </a:pPr>
                <a:r>
                  <a:rPr lang="en-GB" sz="1050" b="0" i="0" u="none" strike="noStrike" baseline="0">
                    <a:solidFill>
                      <a:schemeClr val="tx1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Max Z Score Values</a:t>
                </a:r>
                <a:endParaRPr lang="en-GB">
                  <a:solidFill>
                    <a:schemeClr val="tx1"/>
                  </a:solidFill>
                  <a:effectLst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chemeClr val="tx1"/>
              </a:solidFill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chemeClr val="tx1"/>
              </a:solidFill>
            </a:defRPr>
          </a:pPr>
          <a:endParaRPr lang="en-GB" sz="1000" b="0" i="0" u="none" strike="noStrike" baseline="0">
            <a:solidFill>
              <a:schemeClr val="tx1"/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Distribution of Mouse Similarity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GB" sz="1400" b="0" i="0" u="none" strike="noStrike" baseline="0">
              <a:solidFill>
                <a:schemeClr val="tx1"/>
              </a:solidFill>
              <a:latin typeface="Aptos Narrow" panose="02110004020202020204"/>
            </a:rPr>
            <a:t>Distribution of Mouse Similarity Scores</a:t>
          </a:r>
        </a:p>
      </cx:txPr>
    </cx:title>
    <cx:plotArea>
      <cx:plotAreaRegion>
        <cx:series layoutId="boxWhisker" uniqueId="{6DD86C6B-8DFF-403D-9ABC-7599897E3CC3}">
          <cx:tx>
            <cx:txData>
              <cx:f>_xlchart.v1.4</cx:f>
              <cx:v>Genuine mouse_similarity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119EC88F-BF7A-41B5-8A1B-461CF193646B}">
          <cx:tx>
            <cx:txData>
              <cx:f>_xlchart.v1.6</cx:f>
              <cx:v>Impostor mouse_similarity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Attempt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>
                  <a:solidFill>
                    <a:schemeClr val="tx1"/>
                  </a:solidFill>
                </a:defRPr>
              </a:pPr>
              <a:r>
                <a:rPr lang="en-GB" sz="12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Attempt Type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chemeClr val="tx1"/>
              </a:solidFill>
            </a:endParaRPr>
          </a:p>
        </cx:txPr>
      </cx:axis>
      <cx:axis id="1">
        <cx:valScaling/>
        <cx:title>
          <cx:tx>
            <cx:txData>
              <cx:v>Similarity Score Values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>
                  <a:solidFill>
                    <a:schemeClr val="tx1"/>
                  </a:solidFill>
                </a:defRPr>
              </a:pPr>
              <a:r>
                <a:rPr lang="en-GB" sz="12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Similarity Score Values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chemeClr val="tx1"/>
              </a:solidFill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chemeClr val="tx1"/>
              </a:solidFill>
            </a:defRPr>
          </a:pPr>
          <a:endParaRPr lang="en-GB" sz="1000" b="0" i="0" u="none" strike="noStrike" baseline="0">
            <a:solidFill>
              <a:schemeClr val="tx1"/>
            </a:solidFill>
            <a:latin typeface="Aptos Narrow" panose="0211000402020202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</cx:chartData>
  <cx:chart>
    <cx:title pos="t" align="ctr" overlay="0">
      <cx:tx>
        <cx:txData>
          <cx:v>Distribution of Keystroke Average Z-Scores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</a:defRPr>
          </a:pPr>
          <a:r>
            <a:rPr lang="en-GB" sz="2000" b="0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Distribution of Keystroke Average Z-Scores</a:t>
          </a:r>
        </a:p>
      </cx:txPr>
    </cx:title>
    <cx:plotArea>
      <cx:plotAreaRegion>
        <cx:series layoutId="boxWhisker" uniqueId="{AE89FB74-E342-4919-B151-5976BB5C6C8F}">
          <cx:tx>
            <cx:txData>
              <cx:f>_xlchart.v1.20</cx:f>
              <cx:v>Genuine Avg_Z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9F7CCF96-4FD9-49FD-B2AD-1CA84232BD61}">
          <cx:tx>
            <cx:txData>
              <cx:f>_xlchart.v1.22</cx:f>
              <cx:v>Impostor Avg_Z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/>
                    </a:solidFill>
                  </a:defRPr>
                </a:pPr>
                <a:r>
                  <a:rPr lang="en-GB" sz="1600" b="0" i="0" u="none" strike="noStrike" baseline="0">
                    <a:solidFill>
                      <a:sysClr val="windowText" lastClr="000000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Attempt Type</a:t>
                </a:r>
                <a:endParaRPr lang="en-GB" sz="1600">
                  <a:solidFill>
                    <a:sysClr val="windowText" lastClr="000000"/>
                  </a:solidFill>
                  <a:effectLst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  <cx:axis id="1">
        <cx:valScaling max="3" min="0"/>
        <cx:title>
          <cx:tx>
            <cx:txData>
              <cx:v>Average Z Score Values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</a:defRPr>
              </a:pPr>
              <a:r>
                <a:rPr lang="en-GB" sz="16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Average Z Score Values</a:t>
              </a:r>
            </a:p>
          </cx:txPr>
        </cx:title>
        <cx:majorGridlines/>
        <cx:min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ysClr val="windowText" lastClr="000000"/>
                </a:solidFill>
              </a:defRPr>
            </a:pPr>
            <a:endParaRPr lang="en-GB" sz="16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</a:defRPr>
          </a:pPr>
          <a:endParaRPr lang="en-GB" sz="16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</cx:chartData>
  <cx:chart>
    <cx:title pos="t" align="ctr" overlay="0">
      <cx:tx>
        <cx:txData>
          <cx:v>Distribution of Keystroke Max Z-Scores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</a:defRPr>
          </a:pPr>
          <a:r>
            <a:rPr lang="en-GB" sz="2000" b="0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Distribution of Keystroke Max Z-Scores</a:t>
          </a:r>
        </a:p>
      </cx:txPr>
    </cx:title>
    <cx:plotArea>
      <cx:plotAreaRegion>
        <cx:series layoutId="boxWhisker" uniqueId="{4D90684E-ACBB-4F9B-BD04-E4C6F71DF0C4}">
          <cx:tx>
            <cx:txData>
              <cx:f>_xlchart.v1.16</cx:f>
              <cx:v>Genuine Max_Z</cx:v>
            </cx:txData>
          </cx:tx>
          <cx:dataId val="0"/>
          <cx:layoutPr>
            <cx:statistics quartileMethod="exclusive"/>
          </cx:layoutPr>
        </cx:series>
        <cx:series layoutId="boxWhisker" uniqueId="{FB43C653-51AC-4FFB-8824-026F29FEEE0D}">
          <cx:tx>
            <cx:txData>
              <cx:f>_xlchart.v1.18</cx:f>
              <cx:v>impostor Max_Z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ysClr val="windowText" lastClr="000000"/>
                    </a:solidFill>
                  </a:defRPr>
                </a:pPr>
                <a:r>
                  <a:rPr lang="en-GB" sz="1600" b="0" i="0" u="none" strike="noStrike" baseline="0">
                    <a:solidFill>
                      <a:sysClr val="windowText" lastClr="000000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Attempt Type</a:t>
                </a:r>
                <a:endParaRPr lang="en-GB" sz="1600">
                  <a:solidFill>
                    <a:sysClr val="windowText" lastClr="000000"/>
                  </a:solidFill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ysClr val="windowText" lastClr="000000"/>
                    </a:solidFill>
                  </a:defRPr>
                </a:pPr>
                <a:endParaRPr lang="en-GB" sz="16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rich>
          </cx:tx>
        </cx:title>
        <cx:min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  <cx:axis id="1">
        <cx:valScaling max="5"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GB" sz="1800" b="0" i="0" baseline="0">
                    <a:effectLst/>
                  </a:rPr>
                  <a:t>Max Z Score Values</a:t>
                </a:r>
                <a:endParaRPr lang="en-GB" sz="1600">
                  <a:effectLst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ysClr val="windowText" lastClr="000000"/>
                </a:solidFill>
              </a:defRPr>
            </a:pPr>
            <a:endParaRPr lang="en-GB" sz="16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</a:defRPr>
          </a:pPr>
          <a:endParaRPr lang="en-GB" sz="16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>
      <cx:tx>
        <cx:txData>
          <cx:v>Distribution of Keystroke Similarity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</a:defRPr>
          </a:pPr>
          <a:r>
            <a:rPr lang="en-GB" sz="2000" b="0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Distribution of Keystroke Similarity</a:t>
          </a:r>
        </a:p>
      </cx:txPr>
    </cx:title>
    <cx:plotArea>
      <cx:plotAreaRegion>
        <cx:series layoutId="boxWhisker" uniqueId="{E45660C6-8B09-4DF6-B206-CAE48E5F4108}">
          <cx:tx>
            <cx:txData>
              <cx:f>_xlchart.v1.12</cx:f>
              <cx:v>Genuine keystroke_similarity</cx:v>
            </cx:txData>
          </cx:tx>
          <cx:dataId val="0"/>
          <cx:layoutPr>
            <cx:statistics quartileMethod="exclusive"/>
          </cx:layoutPr>
        </cx:series>
        <cx:series layoutId="boxWhisker" uniqueId="{9A14A83B-7CF7-4075-93CB-6CA21014044B}">
          <cx:tx>
            <cx:txData>
              <cx:f>_xlchart.v1.14</cx:f>
              <cx:v>Impostor keystroke_similarity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Attempt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>
                  <a:solidFill>
                    <a:sysClr val="windowText" lastClr="000000"/>
                  </a:solidFill>
                </a:defRPr>
              </a:pPr>
              <a:r>
                <a:rPr lang="en-GB" sz="16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Attempt Type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  <cx:axis id="1">
        <cx:valScaling/>
        <cx:title>
          <cx:tx>
            <cx:txData>
              <cx:v>Similarity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>
                  <a:solidFill>
                    <a:sysClr val="windowText" lastClr="000000"/>
                  </a:solidFill>
                </a:defRPr>
              </a:pPr>
              <a:r>
                <a:rPr lang="en-GB" sz="16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Similarity Score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ysClr val="windowText" lastClr="000000"/>
                </a:solidFill>
              </a:defRPr>
            </a:pPr>
            <a:endParaRPr lang="en-GB" sz="16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</a:defRPr>
          </a:pPr>
          <a:endParaRPr lang="en-GB" sz="16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/>
                </a:solidFill>
              </a:defRPr>
            </a:pPr>
            <a:r>
              <a:rPr lang="en-GB" sz="1400" b="0" i="0" u="none" strike="noStrike" baseline="0">
                <a:solidFill>
                  <a:sysClr val="windowText" lastClr="000000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Mouse: Genuine Vs Impostor Avg_Z</a:t>
            </a:r>
            <a:endParaRPr lang="en-GB">
              <a:solidFill>
                <a:sysClr val="windowText" lastClr="000000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/>
                </a:solidFill>
              </a:defRPr>
            </a:pPr>
            <a:endParaRPr lang="en-GB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181444B3-F973-4252-9FB6-320741EFDE8C}">
          <cx:tx>
            <cx:txData>
              <cx:f>_xlchart.v1.32</cx:f>
              <cx:v>Genuine mouse_avg_z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144C5C09-9E89-4938-99B1-C9EE08FF123D}">
          <cx:tx>
            <cx:txData>
              <cx:f>_xlchart.v1.34</cx:f>
              <cx:v>Impostor mouse_avg_z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>
                    <a:solidFill>
                      <a:sysClr val="windowText" lastClr="000000"/>
                    </a:solidFill>
                  </a:defRPr>
                </a:pPr>
                <a:r>
                  <a:rPr lang="en-GB" sz="1200" b="0" i="0" u="none" strike="noStrike" baseline="0">
                    <a:solidFill>
                      <a:sysClr val="windowText" lastClr="000000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Attempt Type</a:t>
                </a:r>
                <a:endParaRPr lang="en-GB" sz="1200">
                  <a:solidFill>
                    <a:sysClr val="windowText" lastClr="000000"/>
                  </a:solidFill>
                  <a:effectLst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  <cx:axis id="1">
        <cx:valScaling max="5"/>
        <cx:title>
          <cx:tx>
            <cx:txData>
              <cx:v>Average Z Score Values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>
                  <a:solidFill>
                    <a:sysClr val="windowText" lastClr="000000"/>
                  </a:solidFill>
                </a:defRPr>
              </a:pPr>
              <a:r>
                <a:rPr lang="en-GB" sz="12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Average Z Score Values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ysClr val="windowText" lastClr="000000"/>
              </a:solidFill>
            </a:defRPr>
          </a:pPr>
          <a:endParaRPr lang="en-GB" sz="10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/>
                </a:solidFill>
              </a:defRPr>
            </a:pPr>
            <a:r>
              <a:rPr lang="en-GB" sz="1400" b="0" i="0" u="none" strike="noStrike" baseline="0">
                <a:solidFill>
                  <a:sysClr val="windowText" lastClr="000000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Mouse: Genuine Vs Impostor Max_Z</a:t>
            </a:r>
            <a:endParaRPr lang="en-GB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92AF950E-36CC-4FB2-9E56-81703DE3D8C4}">
          <cx:tx>
            <cx:txData>
              <cx:f>_xlchart.v1.24</cx:f>
              <cx:v>Genuine mouse_max_z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5B9D6480-3B4A-4E6A-886C-83EC782CF37A}">
          <cx:tx>
            <cx:txData>
              <cx:f>_xlchart.v1.26</cx:f>
              <cx:v>Impostor mouse_max_z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>
                    <a:solidFill>
                      <a:sysClr val="windowText" lastClr="000000"/>
                    </a:solidFill>
                  </a:defRPr>
                </a:pPr>
                <a:r>
                  <a:rPr lang="en-GB" sz="1200" b="0" i="0" u="none" strike="noStrike" baseline="0">
                    <a:solidFill>
                      <a:sysClr val="windowText" lastClr="000000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Attempt Type</a:t>
                </a:r>
                <a:endParaRPr lang="en-GB" sz="1200">
                  <a:solidFill>
                    <a:sysClr val="windowText" lastClr="000000"/>
                  </a:solidFill>
                  <a:effectLst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  <cx:axis id="1">
        <cx:valScaling max="9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50">
                    <a:solidFill>
                      <a:sysClr val="windowText" lastClr="000000"/>
                    </a:solidFill>
                  </a:defRPr>
                </a:pPr>
                <a:r>
                  <a:rPr lang="en-GB" sz="1050" b="0" i="0" u="none" strike="noStrike" baseline="0">
                    <a:solidFill>
                      <a:sysClr val="windowText" lastClr="000000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Average Z Score Values</a:t>
                </a:r>
                <a:endParaRPr lang="en-GB">
                  <a:solidFill>
                    <a:sysClr val="windowText" lastClr="000000"/>
                  </a:solidFill>
                  <a:effectLst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ysClr val="windowText" lastClr="000000"/>
              </a:solidFill>
            </a:defRPr>
          </a:pPr>
          <a:endParaRPr lang="en-GB" sz="10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  <cx:data id="1">
      <cx:numDim type="val">
        <cx:f>_xlchart.v1.31</cx:f>
      </cx:numDim>
    </cx:data>
  </cx:chartData>
  <cx:chart>
    <cx:title pos="t" align="ctr" overlay="0">
      <cx:tx>
        <cx:txData>
          <cx:v>Mouse: Genuine Vs Impostor Similarity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en-GB" sz="1400" b="0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Mouse: Genuine Vs Impostor Similarity</a:t>
          </a:r>
        </a:p>
      </cx:txPr>
    </cx:title>
    <cx:plotArea>
      <cx:plotAreaRegion>
        <cx:series layoutId="boxWhisker" uniqueId="{6DD86C6B-8DFF-403D-9ABC-7599897E3CC3}">
          <cx:tx>
            <cx:txData>
              <cx:f>_xlchart.v1.28</cx:f>
              <cx:v>Genuine mouse_similarity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119EC88F-BF7A-41B5-8A1B-461CF193646B}">
          <cx:tx>
            <cx:txData>
              <cx:f>_xlchart.v1.30</cx:f>
              <cx:v>Impostor mouse_similarity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Attempt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>
                  <a:solidFill>
                    <a:sysClr val="windowText" lastClr="000000"/>
                  </a:solidFill>
                </a:defRPr>
              </a:pPr>
              <a:r>
                <a:rPr lang="en-GB" sz="12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Attempt Type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  <cx:axis id="1">
        <cx:valScaling/>
        <cx:title>
          <cx:tx>
            <cx:txData>
              <cx:v>Similarity Score Values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>
                  <a:solidFill>
                    <a:sysClr val="windowText" lastClr="000000"/>
                  </a:solidFill>
                </a:defRPr>
              </a:pPr>
              <a:r>
                <a:rPr lang="en-GB" sz="12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Similarity Score Values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>
              <a:solidFill>
                <a:sysClr val="windowText" lastClr="000000"/>
              </a:solidFill>
            </a:defRPr>
          </a:pPr>
          <a:endParaRPr lang="en-GB" sz="10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</cx:chartData>
  <cx:chart>
    <cx:title pos="t" align="ctr" overlay="0">
      <cx:tx>
        <cx:txData>
          <cx:v>Distribution of Keystroke Average Z-Scores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</a:defRPr>
          </a:pPr>
          <a:r>
            <a:rPr lang="en-GB" sz="2000" b="0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Distribution of Keystroke Average Z-Scores</a:t>
          </a:r>
        </a:p>
      </cx:txPr>
    </cx:title>
    <cx:plotArea>
      <cx:plotAreaRegion>
        <cx:series layoutId="boxWhisker" uniqueId="{AE89FB74-E342-4919-B151-5976BB5C6C8F}">
          <cx:tx>
            <cx:txData>
              <cx:f>_xlchart.v1.40</cx:f>
              <cx:v>Genuine Avg_Z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9F7CCF96-4FD9-49FD-B2AD-1CA84232BD61}">
          <cx:tx>
            <cx:txData>
              <cx:f>_xlchart.v1.42</cx:f>
              <cx:v>Impostor Avg_Z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/>
                    </a:solidFill>
                  </a:defRPr>
                </a:pPr>
                <a:r>
                  <a:rPr lang="en-GB" sz="1600" b="0" i="0" u="none" strike="noStrike" baseline="0">
                    <a:solidFill>
                      <a:sysClr val="windowText" lastClr="000000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Attempt Type</a:t>
                </a:r>
                <a:endParaRPr lang="en-GB" sz="1600">
                  <a:solidFill>
                    <a:sysClr val="windowText" lastClr="000000"/>
                  </a:solidFill>
                  <a:effectLst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  <cx:axis id="1">
        <cx:valScaling max="3" min="0"/>
        <cx:title>
          <cx:tx>
            <cx:txData>
              <cx:v>Average Z Score Values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ysClr val="windowText" lastClr="000000"/>
                  </a:solidFill>
                </a:defRPr>
              </a:pPr>
              <a:r>
                <a:rPr lang="en-GB" sz="16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Average Z Score Values</a:t>
              </a:r>
            </a:p>
          </cx:txPr>
        </cx:title>
        <cx:majorGridlines/>
        <cx:min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ysClr val="windowText" lastClr="000000"/>
                </a:solidFill>
              </a:defRPr>
            </a:pPr>
            <a:endParaRPr lang="en-GB" sz="16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</a:defRPr>
          </a:pPr>
          <a:endParaRPr lang="en-GB" sz="16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  <cx:data id="1">
      <cx:numDim type="val">
        <cx:f>_xlchart.v1.47</cx:f>
      </cx:numDim>
    </cx:data>
  </cx:chartData>
  <cx:chart>
    <cx:title pos="t" align="ctr" overlay="0">
      <cx:tx>
        <cx:txData>
          <cx:v>Distribution of Keystroke Max Z-Scores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</a:defRPr>
          </a:pPr>
          <a:r>
            <a:rPr lang="en-GB" sz="2000" b="0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Distribution of Keystroke Max Z-Scores</a:t>
          </a:r>
        </a:p>
      </cx:txPr>
    </cx:title>
    <cx:plotArea>
      <cx:plotAreaRegion>
        <cx:series layoutId="boxWhisker" uniqueId="{4D90684E-ACBB-4F9B-BD04-E4C6F71DF0C4}">
          <cx:tx>
            <cx:txData>
              <cx:f>_xlchart.v1.44</cx:f>
              <cx:v>Genuine Max_Z</cx:v>
            </cx:txData>
          </cx:tx>
          <cx:dataId val="0"/>
          <cx:layoutPr>
            <cx:statistics quartileMethod="exclusive"/>
          </cx:layoutPr>
        </cx:series>
        <cx:series layoutId="boxWhisker" uniqueId="{FB43C653-51AC-4FFB-8824-026F29FEEE0D}">
          <cx:tx>
            <cx:txData>
              <cx:f>_xlchart.v1.46</cx:f>
              <cx:v>impostor Max_Z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ysClr val="windowText" lastClr="000000"/>
                    </a:solidFill>
                  </a:defRPr>
                </a:pPr>
                <a:r>
                  <a:rPr lang="en-GB" sz="1600" b="0" i="0" u="none" strike="noStrike" baseline="0">
                    <a:solidFill>
                      <a:sysClr val="windowText" lastClr="000000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Attempt Type</a:t>
                </a:r>
                <a:endParaRPr lang="en-GB" sz="1600">
                  <a:solidFill>
                    <a:sysClr val="windowText" lastClr="000000"/>
                  </a:solidFill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>
                    <a:solidFill>
                      <a:sysClr val="windowText" lastClr="000000"/>
                    </a:solidFill>
                  </a:defRPr>
                </a:pPr>
                <a:endParaRPr lang="en-GB" sz="16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  <cx:axis id="1">
        <cx:valScaling max="5" min="0"/>
        <cx:title>
          <cx:tx>
            <cx:txData>
              <cx:v>Axis Title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>
                  <a:solidFill>
                    <a:sysClr val="windowText" lastClr="000000"/>
                  </a:solidFill>
                </a:defRPr>
              </a:pPr>
              <a:r>
                <a:rPr lang="en-GB" sz="16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Axis Title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ysClr val="windowText" lastClr="000000"/>
                </a:solidFill>
              </a:defRPr>
            </a:pPr>
            <a:endParaRPr lang="en-GB" sz="16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</a:defRPr>
          </a:pPr>
          <a:endParaRPr lang="en-GB" sz="16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</cx:chartData>
  <cx:chart>
    <cx:title pos="t" align="ctr" overlay="0">
      <cx:tx>
        <cx:txData>
          <cx:v>Distribution of Keystroke Similarity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</a:defRPr>
          </a:pPr>
          <a:r>
            <a:rPr lang="en-GB" sz="2000" b="0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Distribution of Keystroke Similarity</a:t>
          </a:r>
        </a:p>
      </cx:txPr>
    </cx:title>
    <cx:plotArea>
      <cx:plotAreaRegion>
        <cx:series layoutId="boxWhisker" uniqueId="{E45660C6-8B09-4DF6-B206-CAE48E5F4108}">
          <cx:tx>
            <cx:txData>
              <cx:f>_xlchart.v1.36</cx:f>
              <cx:v>Genuine keystroke_similarity</cx:v>
            </cx:txData>
          </cx:tx>
          <cx:dataId val="0"/>
          <cx:layoutPr>
            <cx:statistics quartileMethod="exclusive"/>
          </cx:layoutPr>
        </cx:series>
        <cx:series layoutId="boxWhisker" uniqueId="{9A14A83B-7CF7-4075-93CB-6CA21014044B}">
          <cx:tx>
            <cx:txData>
              <cx:f>_xlchart.v1.38</cx:f>
              <cx:v>Impostor keystroke_similarity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Attempt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>
                  <a:solidFill>
                    <a:sysClr val="windowText" lastClr="000000"/>
                  </a:solidFill>
                </a:defRPr>
              </a:pPr>
              <a:r>
                <a:rPr lang="en-GB" sz="16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Attempt Type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GB">
              <a:solidFill>
                <a:sysClr val="windowText" lastClr="000000"/>
              </a:solidFill>
            </a:endParaRPr>
          </a:p>
        </cx:txPr>
      </cx:axis>
      <cx:axis id="1">
        <cx:valScaling/>
        <cx:title>
          <cx:tx>
            <cx:txData>
              <cx:v>Similarity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>
                  <a:solidFill>
                    <a:sysClr val="windowText" lastClr="000000"/>
                  </a:solidFill>
                </a:defRPr>
              </a:pPr>
              <a:r>
                <a:rPr lang="en-GB" sz="1600" b="0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rPr>
                <a:t>Similarity Score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ysClr val="windowText" lastClr="000000"/>
                </a:solidFill>
              </a:defRPr>
            </a:pPr>
            <a:endParaRPr lang="en-GB" sz="16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</a:defRPr>
          </a:pPr>
          <a:endParaRPr lang="en-GB" sz="1600" b="0" i="0" u="none" strike="noStrike" baseline="0">
            <a:solidFill>
              <a:sysClr val="windowText" lastClr="000000"/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microsoft.com/office/2014/relationships/chartEx" Target="../charts/chartEx6.xml"/><Relationship Id="rId7" Type="http://schemas.openxmlformats.org/officeDocument/2006/relationships/chart" Target="../charts/chart7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27.xml"/><Relationship Id="rId3" Type="http://schemas.microsoft.com/office/2014/relationships/chartEx" Target="../charts/chartEx7.xml"/><Relationship Id="rId7" Type="http://schemas.openxmlformats.org/officeDocument/2006/relationships/chart" Target="../charts/chart24.xml"/><Relationship Id="rId12" Type="http://schemas.openxmlformats.org/officeDocument/2006/relationships/chart" Target="../charts/chart2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3.xml"/><Relationship Id="rId11" Type="http://schemas.microsoft.com/office/2014/relationships/chartEx" Target="../charts/chartEx12.xml"/><Relationship Id="rId5" Type="http://schemas.microsoft.com/office/2014/relationships/chartEx" Target="../charts/chartEx9.xml"/><Relationship Id="rId10" Type="http://schemas.microsoft.com/office/2014/relationships/chartEx" Target="../charts/chartEx11.xml"/><Relationship Id="rId4" Type="http://schemas.microsoft.com/office/2014/relationships/chartEx" Target="../charts/chartEx8.xml"/><Relationship Id="rId9" Type="http://schemas.microsoft.com/office/2014/relationships/chartEx" Target="../charts/chartEx10.xml"/><Relationship Id="rId1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30256</xdr:colOff>
      <xdr:row>20</xdr:row>
      <xdr:rowOff>142033</xdr:rowOff>
    </xdr:from>
    <xdr:to>
      <xdr:col>21</xdr:col>
      <xdr:colOff>409314</xdr:colOff>
      <xdr:row>36</xdr:row>
      <xdr:rowOff>154033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6C5C266-FFEA-99C3-374B-8C2DB02CC4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69956" y="3952033"/>
              <a:ext cx="5255858" cy="30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595031</xdr:colOff>
      <xdr:row>37</xdr:row>
      <xdr:rowOff>186858</xdr:rowOff>
    </xdr:from>
    <xdr:to>
      <xdr:col>23</xdr:col>
      <xdr:colOff>368972</xdr:colOff>
      <xdr:row>54</xdr:row>
      <xdr:rowOff>8358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F639550-BFFB-E649-A8A4-D05AD2B77F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44331" y="7235358"/>
              <a:ext cx="5260341" cy="30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273983</xdr:colOff>
      <xdr:row>3</xdr:row>
      <xdr:rowOff>127467</xdr:rowOff>
    </xdr:from>
    <xdr:to>
      <xdr:col>20</xdr:col>
      <xdr:colOff>47924</xdr:colOff>
      <xdr:row>19</xdr:row>
      <xdr:rowOff>139467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144E47E-48AE-E87B-98BC-F1FD566BBE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94483" y="698967"/>
              <a:ext cx="5260341" cy="30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566057</xdr:colOff>
      <xdr:row>63</xdr:row>
      <xdr:rowOff>89127</xdr:rowOff>
    </xdr:from>
    <xdr:to>
      <xdr:col>19</xdr:col>
      <xdr:colOff>51236</xdr:colOff>
      <xdr:row>77</xdr:row>
      <xdr:rowOff>122127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E6EDE-A6DD-A1FD-D0B3-0E14DE289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586468</xdr:colOff>
      <xdr:row>78</xdr:row>
      <xdr:rowOff>25172</xdr:rowOff>
    </xdr:from>
    <xdr:to>
      <xdr:col>19</xdr:col>
      <xdr:colOff>71647</xdr:colOff>
      <xdr:row>92</xdr:row>
      <xdr:rowOff>58172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A8173A-F30F-9A8F-FA0A-8B322CC31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</xdr:colOff>
      <xdr:row>67</xdr:row>
      <xdr:rowOff>85725</xdr:rowOff>
    </xdr:from>
    <xdr:to>
      <xdr:col>13</xdr:col>
      <xdr:colOff>947058</xdr:colOff>
      <xdr:row>103</xdr:row>
      <xdr:rowOff>83005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DF093A-011F-4ACF-8AE0-26355EE89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767279</xdr:colOff>
      <xdr:row>92</xdr:row>
      <xdr:rowOff>137948</xdr:rowOff>
    </xdr:from>
    <xdr:to>
      <xdr:col>8</xdr:col>
      <xdr:colOff>59121</xdr:colOff>
      <xdr:row>97</xdr:row>
      <xdr:rowOff>90910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879BD2D-B362-45B3-875D-7F354E540A98}"/>
            </a:ext>
          </a:extLst>
        </xdr:cNvPr>
        <xdr:cNvSpPr/>
      </xdr:nvSpPr>
      <xdr:spPr>
        <a:xfrm>
          <a:off x="3210934" y="17663948"/>
          <a:ext cx="3220084" cy="90546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773849</xdr:colOff>
      <xdr:row>90</xdr:row>
      <xdr:rowOff>91966</xdr:rowOff>
    </xdr:from>
    <xdr:to>
      <xdr:col>9</xdr:col>
      <xdr:colOff>282466</xdr:colOff>
      <xdr:row>97</xdr:row>
      <xdr:rowOff>100462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26B2F74-68CC-4222-B310-E5FAD0950A4F}"/>
            </a:ext>
          </a:extLst>
        </xdr:cNvPr>
        <xdr:cNvSpPr/>
      </xdr:nvSpPr>
      <xdr:spPr>
        <a:xfrm>
          <a:off x="3217504" y="17236966"/>
          <a:ext cx="4829479" cy="134199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1015905</xdr:colOff>
      <xdr:row>96</xdr:row>
      <xdr:rowOff>8570</xdr:rowOff>
    </xdr:from>
    <xdr:to>
      <xdr:col>7</xdr:col>
      <xdr:colOff>341986</xdr:colOff>
      <xdr:row>97</xdr:row>
      <xdr:rowOff>87398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BB9CB8-BFCD-47CD-8E85-4667D53833C4}"/>
            </a:ext>
          </a:extLst>
        </xdr:cNvPr>
        <xdr:cNvSpPr txBox="1"/>
      </xdr:nvSpPr>
      <xdr:spPr>
        <a:xfrm>
          <a:off x="4812767" y="18296570"/>
          <a:ext cx="1290202" cy="26932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AVG_Z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  <xdr:twoCellAnchor>
    <xdr:from>
      <xdr:col>8</xdr:col>
      <xdr:colOff>230265</xdr:colOff>
      <xdr:row>96</xdr:row>
      <xdr:rowOff>33054</xdr:rowOff>
    </xdr:from>
    <xdr:to>
      <xdr:col>9</xdr:col>
      <xdr:colOff>141762</xdr:colOff>
      <xdr:row>97</xdr:row>
      <xdr:rowOff>92175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035D354-3C31-487F-97CC-4B5A1154E667}"/>
            </a:ext>
          </a:extLst>
        </xdr:cNvPr>
        <xdr:cNvSpPr txBox="1"/>
      </xdr:nvSpPr>
      <xdr:spPr>
        <a:xfrm>
          <a:off x="6602162" y="18321054"/>
          <a:ext cx="1304117" cy="24962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MAX_Z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221085</xdr:colOff>
      <xdr:row>87</xdr:row>
      <xdr:rowOff>144722</xdr:rowOff>
    </xdr:from>
    <xdr:to>
      <xdr:col>8</xdr:col>
      <xdr:colOff>234223</xdr:colOff>
      <xdr:row>110</xdr:row>
      <xdr:rowOff>26480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04E3E15-7FA5-43AE-B51A-97AB0AD29304}"/>
            </a:ext>
          </a:extLst>
        </xdr:cNvPr>
        <xdr:cNvCxnSpPr/>
      </xdr:nvCxnSpPr>
      <xdr:spPr>
        <a:xfrm flipH="1" flipV="1">
          <a:off x="9565110" y="40721222"/>
          <a:ext cx="13138" cy="4263258"/>
        </a:xfrm>
        <a:prstGeom prst="line">
          <a:avLst/>
        </a:prstGeom>
        <a:ln w="19050" cap="flat" cmpd="sng" algn="ctr">
          <a:solidFill>
            <a:schemeClr val="tx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215013</xdr:colOff>
      <xdr:row>84</xdr:row>
      <xdr:rowOff>11206</xdr:rowOff>
    </xdr:from>
    <xdr:to>
      <xdr:col>8</xdr:col>
      <xdr:colOff>1108507</xdr:colOff>
      <xdr:row>88</xdr:row>
      <xdr:rowOff>15407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51EC7FE-0E55-4880-8110-00F98C9FED77}"/>
            </a:ext>
          </a:extLst>
        </xdr:cNvPr>
        <xdr:cNvCxnSpPr>
          <a:endCxn id="5" idx="2"/>
        </xdr:cNvCxnSpPr>
      </xdr:nvCxnSpPr>
      <xdr:spPr>
        <a:xfrm flipV="1">
          <a:off x="9559038" y="40016206"/>
          <a:ext cx="893494" cy="76620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1299882</xdr:colOff>
      <xdr:row>82</xdr:row>
      <xdr:rowOff>33617</xdr:rowOff>
    </xdr:from>
    <xdr:to>
      <xdr:col>9</xdr:col>
      <xdr:colOff>1042147</xdr:colOff>
      <xdr:row>84</xdr:row>
      <xdr:rowOff>11206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21B9FB8-323E-40AC-9686-F2B788E71688}"/>
            </a:ext>
          </a:extLst>
        </xdr:cNvPr>
        <xdr:cNvSpPr txBox="1"/>
      </xdr:nvSpPr>
      <xdr:spPr>
        <a:xfrm>
          <a:off x="9110382" y="39657617"/>
          <a:ext cx="2685490" cy="3585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/>
            <a:t>Equal</a:t>
          </a:r>
          <a:r>
            <a:rPr lang="en-GB" sz="2000" baseline="0"/>
            <a:t> Error Rate:  </a:t>
          </a:r>
          <a:r>
            <a:rPr lang="en-GB" sz="2000"/>
            <a:t>~0.361</a:t>
          </a:r>
        </a:p>
      </xdr:txBody>
    </xdr:sp>
    <xdr:clientData/>
  </xdr:twoCellAnchor>
  <xdr:twoCellAnchor>
    <xdr:from>
      <xdr:col>8</xdr:col>
      <xdr:colOff>210911</xdr:colOff>
      <xdr:row>106</xdr:row>
      <xdr:rowOff>126716</xdr:rowOff>
    </xdr:from>
    <xdr:to>
      <xdr:col>8</xdr:col>
      <xdr:colOff>256630</xdr:colOff>
      <xdr:row>106</xdr:row>
      <xdr:rowOff>172435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86FA0022-B814-48B9-8D15-F57D42D05E1A}"/>
            </a:ext>
          </a:extLst>
        </xdr:cNvPr>
        <xdr:cNvSpPr/>
      </xdr:nvSpPr>
      <xdr:spPr>
        <a:xfrm>
          <a:off x="9554936" y="44322716"/>
          <a:ext cx="45719" cy="45719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788</xdr:colOff>
      <xdr:row>69</xdr:row>
      <xdr:rowOff>105558</xdr:rowOff>
    </xdr:from>
    <xdr:to>
      <xdr:col>20</xdr:col>
      <xdr:colOff>535674</xdr:colOff>
      <xdr:row>96</xdr:row>
      <xdr:rowOff>2058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A902C3B-7443-1B75-1D12-15875EE8CF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6388" y="13250058"/>
              <a:ext cx="6021286" cy="50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589837</xdr:colOff>
      <xdr:row>112</xdr:row>
      <xdr:rowOff>24577</xdr:rowOff>
    </xdr:from>
    <xdr:to>
      <xdr:col>10</xdr:col>
      <xdr:colOff>518587</xdr:colOff>
      <xdr:row>138</xdr:row>
      <xdr:rowOff>111577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1DA01035-2A9F-4614-ABEC-5408CF7EC6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9837" y="21360577"/>
              <a:ext cx="6024750" cy="50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600532</xdr:colOff>
      <xdr:row>97</xdr:row>
      <xdr:rowOff>16400</xdr:rowOff>
    </xdr:from>
    <xdr:to>
      <xdr:col>20</xdr:col>
      <xdr:colOff>529283</xdr:colOff>
      <xdr:row>123</xdr:row>
      <xdr:rowOff>103400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E4CED35E-4773-867E-4B20-AE43A9A962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6532" y="18494900"/>
              <a:ext cx="6024751" cy="50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76694</xdr:colOff>
      <xdr:row>69</xdr:row>
      <xdr:rowOff>79106</xdr:rowOff>
    </xdr:from>
    <xdr:to>
      <xdr:col>33</xdr:col>
      <xdr:colOff>5444</xdr:colOff>
      <xdr:row>95</xdr:row>
      <xdr:rowOff>166106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27DE9FA-683F-6A0F-4372-5BFA8D6EB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67108</xdr:colOff>
      <xdr:row>96</xdr:row>
      <xdr:rowOff>86591</xdr:rowOff>
    </xdr:from>
    <xdr:to>
      <xdr:col>33</xdr:col>
      <xdr:colOff>36988</xdr:colOff>
      <xdr:row>122</xdr:row>
      <xdr:rowOff>173591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FB45887-4529-460A-A53E-AC966865A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235324</xdr:colOff>
      <xdr:row>131</xdr:row>
      <xdr:rowOff>106887</xdr:rowOff>
    </xdr:from>
    <xdr:to>
      <xdr:col>34</xdr:col>
      <xdr:colOff>210366</xdr:colOff>
      <xdr:row>167</xdr:row>
      <xdr:rowOff>23760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717AB24-F6FE-4431-BE06-154C6C743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372717</xdr:colOff>
      <xdr:row>150</xdr:row>
      <xdr:rowOff>182219</xdr:rowOff>
    </xdr:from>
    <xdr:to>
      <xdr:col>26</xdr:col>
      <xdr:colOff>174255</xdr:colOff>
      <xdr:row>161</xdr:row>
      <xdr:rowOff>182219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38CE282-0F66-4775-AE65-AA8C8F18ADC7}"/>
            </a:ext>
          </a:extLst>
        </xdr:cNvPr>
        <xdr:cNvSpPr/>
      </xdr:nvSpPr>
      <xdr:spPr>
        <a:xfrm>
          <a:off x="12630978" y="28757219"/>
          <a:ext cx="3479016" cy="2095500"/>
        </a:xfrm>
        <a:prstGeom prst="rect">
          <a:avLst/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d</a:t>
          </a:r>
        </a:p>
      </xdr:txBody>
    </xdr:sp>
    <xdr:clientData/>
  </xdr:twoCellAnchor>
  <xdr:twoCellAnchor>
    <xdr:from>
      <xdr:col>20</xdr:col>
      <xdr:colOff>372717</xdr:colOff>
      <xdr:row>145</xdr:row>
      <xdr:rowOff>86196</xdr:rowOff>
    </xdr:from>
    <xdr:to>
      <xdr:col>29</xdr:col>
      <xdr:colOff>91109</xdr:colOff>
      <xdr:row>161</xdr:row>
      <xdr:rowOff>173935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299EBE6-7B2B-44A5-9CFD-E7AC607234AA}"/>
            </a:ext>
          </a:extLst>
        </xdr:cNvPr>
        <xdr:cNvSpPr/>
      </xdr:nvSpPr>
      <xdr:spPr>
        <a:xfrm>
          <a:off x="12630978" y="27708696"/>
          <a:ext cx="5234609" cy="3135739"/>
        </a:xfrm>
        <a:prstGeom prst="rect">
          <a:avLst/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</a:t>
          </a:r>
        </a:p>
      </xdr:txBody>
    </xdr:sp>
    <xdr:clientData/>
  </xdr:twoCellAnchor>
  <xdr:twoCellAnchor>
    <xdr:from>
      <xdr:col>22</xdr:col>
      <xdr:colOff>31242</xdr:colOff>
      <xdr:row>160</xdr:row>
      <xdr:rowOff>76202</xdr:rowOff>
    </xdr:from>
    <xdr:to>
      <xdr:col>24</xdr:col>
      <xdr:colOff>117862</xdr:colOff>
      <xdr:row>161</xdr:row>
      <xdr:rowOff>155030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1A7094F-C342-49F9-9A06-FA2740E941BA}"/>
            </a:ext>
          </a:extLst>
        </xdr:cNvPr>
        <xdr:cNvSpPr txBox="1"/>
      </xdr:nvSpPr>
      <xdr:spPr>
        <a:xfrm>
          <a:off x="13515329" y="30556202"/>
          <a:ext cx="1312446" cy="26932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AVG_Z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  <xdr:twoCellAnchor>
    <xdr:from>
      <xdr:col>23</xdr:col>
      <xdr:colOff>530642</xdr:colOff>
      <xdr:row>145</xdr:row>
      <xdr:rowOff>105379</xdr:rowOff>
    </xdr:from>
    <xdr:to>
      <xdr:col>26</xdr:col>
      <xdr:colOff>10469</xdr:colOff>
      <xdr:row>146</xdr:row>
      <xdr:rowOff>164500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68B1985-FD5D-4914-BEA2-DC1A8C0C8FA0}"/>
            </a:ext>
          </a:extLst>
        </xdr:cNvPr>
        <xdr:cNvSpPr txBox="1"/>
      </xdr:nvSpPr>
      <xdr:spPr>
        <a:xfrm>
          <a:off x="14627642" y="27727879"/>
          <a:ext cx="1318566" cy="24962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MAX_Z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  <xdr:twoCellAnchor>
    <xdr:from>
      <xdr:col>40</xdr:col>
      <xdr:colOff>978350</xdr:colOff>
      <xdr:row>104</xdr:row>
      <xdr:rowOff>108858</xdr:rowOff>
    </xdr:from>
    <xdr:to>
      <xdr:col>51</xdr:col>
      <xdr:colOff>41278</xdr:colOff>
      <xdr:row>138</xdr:row>
      <xdr:rowOff>111858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0E50A7-A814-4C1F-B48A-C29DC5A44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993320</xdr:colOff>
      <xdr:row>69</xdr:row>
      <xdr:rowOff>65314</xdr:rowOff>
    </xdr:from>
    <xdr:to>
      <xdr:col>51</xdr:col>
      <xdr:colOff>56248</xdr:colOff>
      <xdr:row>103</xdr:row>
      <xdr:rowOff>68314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6A3369-88AC-46B3-9E59-9F05AA95A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157653</xdr:colOff>
      <xdr:row>84</xdr:row>
      <xdr:rowOff>72259</xdr:rowOff>
    </xdr:from>
    <xdr:to>
      <xdr:col>29</xdr:col>
      <xdr:colOff>164223</xdr:colOff>
      <xdr:row>90</xdr:row>
      <xdr:rowOff>102399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5857D5-C818-4292-B1B1-B7EAC625E0FE}"/>
            </a:ext>
          </a:extLst>
        </xdr:cNvPr>
        <xdr:cNvSpPr/>
      </xdr:nvSpPr>
      <xdr:spPr>
        <a:xfrm>
          <a:off x="14819584" y="16074259"/>
          <a:ext cx="3061139" cy="1173140"/>
        </a:xfrm>
        <a:prstGeom prst="rect">
          <a:avLst/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d</a:t>
          </a:r>
        </a:p>
      </xdr:txBody>
    </xdr:sp>
    <xdr:clientData/>
  </xdr:twoCellAnchor>
  <xdr:twoCellAnchor>
    <xdr:from>
      <xdr:col>24</xdr:col>
      <xdr:colOff>184813</xdr:colOff>
      <xdr:row>89</xdr:row>
      <xdr:rowOff>36102</xdr:rowOff>
    </xdr:from>
    <xdr:to>
      <xdr:col>26</xdr:col>
      <xdr:colOff>255985</xdr:colOff>
      <xdr:row>90</xdr:row>
      <xdr:rowOff>78828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65EB67-5374-454E-918F-E4E8604A357D}"/>
            </a:ext>
          </a:extLst>
        </xdr:cNvPr>
        <xdr:cNvSpPr txBox="1"/>
      </xdr:nvSpPr>
      <xdr:spPr>
        <a:xfrm>
          <a:off x="14758063" y="16990602"/>
          <a:ext cx="1285610" cy="233226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AVG_Z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  <xdr:twoCellAnchor>
    <xdr:from>
      <xdr:col>24</xdr:col>
      <xdr:colOff>163286</xdr:colOff>
      <xdr:row>108</xdr:row>
      <xdr:rowOff>71437</xdr:rowOff>
    </xdr:from>
    <xdr:to>
      <xdr:col>29</xdr:col>
      <xdr:colOff>178593</xdr:colOff>
      <xdr:row>117</xdr:row>
      <xdr:rowOff>101346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1F8228B-DFDA-41D5-934A-DE1890BB1E3F}"/>
            </a:ext>
          </a:extLst>
        </xdr:cNvPr>
        <xdr:cNvSpPr/>
      </xdr:nvSpPr>
      <xdr:spPr>
        <a:xfrm>
          <a:off x="14736536" y="20645437"/>
          <a:ext cx="3051401" cy="1744409"/>
        </a:xfrm>
        <a:prstGeom prst="rect">
          <a:avLst/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</a:t>
          </a:r>
        </a:p>
      </xdr:txBody>
    </xdr:sp>
    <xdr:clientData/>
  </xdr:twoCellAnchor>
  <xdr:twoCellAnchor>
    <xdr:from>
      <xdr:col>26</xdr:col>
      <xdr:colOff>17600</xdr:colOff>
      <xdr:row>108</xdr:row>
      <xdr:rowOff>86368</xdr:rowOff>
    </xdr:from>
    <xdr:to>
      <xdr:col>28</xdr:col>
      <xdr:colOff>109750</xdr:colOff>
      <xdr:row>109</xdr:row>
      <xdr:rowOff>145489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2C55E05-8C61-4C2F-92C7-09E178B66751}"/>
            </a:ext>
          </a:extLst>
        </xdr:cNvPr>
        <xdr:cNvSpPr txBox="1"/>
      </xdr:nvSpPr>
      <xdr:spPr>
        <a:xfrm>
          <a:off x="15805288" y="20660368"/>
          <a:ext cx="1306587" cy="24962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MAX_Z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  <xdr:twoCellAnchor>
    <xdr:from>
      <xdr:col>35</xdr:col>
      <xdr:colOff>467591</xdr:colOff>
      <xdr:row>141</xdr:row>
      <xdr:rowOff>105392</xdr:rowOff>
    </xdr:from>
    <xdr:to>
      <xdr:col>43</xdr:col>
      <xdr:colOff>107984</xdr:colOff>
      <xdr:row>163</xdr:row>
      <xdr:rowOff>68253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9124FDF-EECB-0309-533D-E62BDD77D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0.50049</cdr:x>
      <cdr:y>0.74493</cdr:y>
    </cdr:from>
    <cdr:to>
      <cdr:x>0.50419</cdr:x>
      <cdr:y>0.7497</cdr:y>
    </cdr:to>
    <cdr:sp macro="" textlink="">
      <cdr:nvSpPr>
        <cdr:cNvPr id="2" name="Flowchart: Connector 1">
          <a:extLst xmlns:a="http://schemas.openxmlformats.org/drawingml/2006/main">
            <a:ext uri="{FF2B5EF4-FFF2-40B4-BE49-F238E27FC236}">
              <a16:creationId xmlns:a16="http://schemas.microsoft.com/office/drawing/2014/main" id="{A456DD63-B5C3-4D3B-B42E-613FA1B2A85E}"/>
            </a:ext>
          </a:extLst>
        </cdr:cNvPr>
        <cdr:cNvSpPr/>
      </cdr:nvSpPr>
      <cdr:spPr>
        <a:xfrm xmlns:a="http://schemas.openxmlformats.org/drawingml/2006/main">
          <a:off x="6177536" y="7144123"/>
          <a:ext cx="45740" cy="45719"/>
        </a:xfrm>
        <a:prstGeom xmlns:a="http://schemas.openxmlformats.org/drawingml/2006/main" prst="flowChartConnector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GB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56</xdr:row>
      <xdr:rowOff>94422</xdr:rowOff>
    </xdr:from>
    <xdr:to>
      <xdr:col>6</xdr:col>
      <xdr:colOff>374590</xdr:colOff>
      <xdr:row>70</xdr:row>
      <xdr:rowOff>127422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895EE-4F73-3023-F327-B8DF49E66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360294</xdr:colOff>
      <xdr:row>41</xdr:row>
      <xdr:rowOff>152400</xdr:rowOff>
    </xdr:from>
    <xdr:to>
      <xdr:col>6</xdr:col>
      <xdr:colOff>353885</xdr:colOff>
      <xdr:row>55</xdr:row>
      <xdr:rowOff>185400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4BEC7-CF57-8717-33A6-66423947D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376859</xdr:colOff>
      <xdr:row>27</xdr:row>
      <xdr:rowOff>28161</xdr:rowOff>
    </xdr:from>
    <xdr:to>
      <xdr:col>6</xdr:col>
      <xdr:colOff>370450</xdr:colOff>
      <xdr:row>41</xdr:row>
      <xdr:rowOff>61161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EAFFA4-EEEA-F9A0-1E16-86F687CCC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513747</xdr:colOff>
      <xdr:row>41</xdr:row>
      <xdr:rowOff>119211</xdr:rowOff>
    </xdr:from>
    <xdr:to>
      <xdr:col>13</xdr:col>
      <xdr:colOff>368792</xdr:colOff>
      <xdr:row>57</xdr:row>
      <xdr:rowOff>169769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86A3903-053D-0AA7-70BB-FFDC6CE06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532278</xdr:colOff>
      <xdr:row>1</xdr:row>
      <xdr:rowOff>12325</xdr:rowOff>
    </xdr:from>
    <xdr:to>
      <xdr:col>27</xdr:col>
      <xdr:colOff>263336</xdr:colOff>
      <xdr:row>15</xdr:row>
      <xdr:rowOff>88525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D99BD1-8A9D-CAE2-E3C6-CA6231A5D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537883</xdr:colOff>
      <xdr:row>15</xdr:row>
      <xdr:rowOff>158002</xdr:rowOff>
    </xdr:from>
    <xdr:to>
      <xdr:col>27</xdr:col>
      <xdr:colOff>268941</xdr:colOff>
      <xdr:row>30</xdr:row>
      <xdr:rowOff>43702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7B8CA9-36A6-3070-82B1-D02619C23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549089</xdr:colOff>
      <xdr:row>31</xdr:row>
      <xdr:rowOff>12325</xdr:rowOff>
    </xdr:from>
    <xdr:to>
      <xdr:col>27</xdr:col>
      <xdr:colOff>280147</xdr:colOff>
      <xdr:row>45</xdr:row>
      <xdr:rowOff>88525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401DC9-CCE0-B811-F7D7-F8B745060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4</xdr:row>
      <xdr:rowOff>119062</xdr:rowOff>
    </xdr:from>
    <xdr:to>
      <xdr:col>14</xdr:col>
      <xdr:colOff>368962</xdr:colOff>
      <xdr:row>18</xdr:row>
      <xdr:rowOff>152062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DAC0FD2-4F5F-3065-91CF-CD90C3B3C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500343</xdr:colOff>
      <xdr:row>4</xdr:row>
      <xdr:rowOff>123265</xdr:rowOff>
    </xdr:from>
    <xdr:to>
      <xdr:col>22</xdr:col>
      <xdr:colOff>483543</xdr:colOff>
      <xdr:row>18</xdr:row>
      <xdr:rowOff>156265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8E2AFFA-C6CF-46D8-A032-CD004EACE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535481</xdr:colOff>
      <xdr:row>4</xdr:row>
      <xdr:rowOff>145677</xdr:rowOff>
    </xdr:from>
    <xdr:to>
      <xdr:col>31</xdr:col>
      <xdr:colOff>170739</xdr:colOff>
      <xdr:row>18</xdr:row>
      <xdr:rowOff>178677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6E056B8-1C2A-4AD4-AED9-4C5B53BE1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340179</xdr:colOff>
      <xdr:row>19</xdr:row>
      <xdr:rowOff>176893</xdr:rowOff>
    </xdr:from>
    <xdr:to>
      <xdr:col>30</xdr:col>
      <xdr:colOff>580554</xdr:colOff>
      <xdr:row>34</xdr:row>
      <xdr:rowOff>19393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76B9AF2-7212-49AA-8269-7C002614D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351864</xdr:colOff>
      <xdr:row>55</xdr:row>
      <xdr:rowOff>147075</xdr:rowOff>
    </xdr:from>
    <xdr:to>
      <xdr:col>26</xdr:col>
      <xdr:colOff>342339</xdr:colOff>
      <xdr:row>74</xdr:row>
      <xdr:rowOff>123264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1C122FA-2ED1-AA48-0B72-B9536135E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163286</xdr:colOff>
      <xdr:row>57</xdr:row>
      <xdr:rowOff>122464</xdr:rowOff>
    </xdr:from>
    <xdr:to>
      <xdr:col>15</xdr:col>
      <xdr:colOff>377390</xdr:colOff>
      <xdr:row>75</xdr:row>
      <xdr:rowOff>174852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6D5FCF-235B-4370-B4F9-5E2561674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6</xdr:row>
      <xdr:rowOff>19050</xdr:rowOff>
    </xdr:from>
    <xdr:to>
      <xdr:col>14</xdr:col>
      <xdr:colOff>133350</xdr:colOff>
      <xdr:row>36</xdr:row>
      <xdr:rowOff>70026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49BCC4-3DDD-CF37-4A33-BDBC1F18D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1162050"/>
          <a:ext cx="7439025" cy="57659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11206</xdr:colOff>
      <xdr:row>38</xdr:row>
      <xdr:rowOff>11206</xdr:rowOff>
    </xdr:from>
    <xdr:to>
      <xdr:col>14</xdr:col>
      <xdr:colOff>145677</xdr:colOff>
      <xdr:row>68</xdr:row>
      <xdr:rowOff>102188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80E652D-0CAA-91AA-63D1-E748220DB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441" y="7250206"/>
          <a:ext cx="7395883" cy="58059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15</xdr:col>
      <xdr:colOff>2803</xdr:colOff>
      <xdr:row>22</xdr:row>
      <xdr:rowOff>134470</xdr:rowOff>
    </xdr:from>
    <xdr:to>
      <xdr:col>23</xdr:col>
      <xdr:colOff>381862</xdr:colOff>
      <xdr:row>38</xdr:row>
      <xdr:rowOff>146470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FA7940F-D99C-4D73-8F52-963842514D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6803" y="4325470"/>
              <a:ext cx="5255859" cy="30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556373</xdr:colOff>
      <xdr:row>6</xdr:row>
      <xdr:rowOff>11206</xdr:rowOff>
    </xdr:from>
    <xdr:to>
      <xdr:col>32</xdr:col>
      <xdr:colOff>330314</xdr:colOff>
      <xdr:row>22</xdr:row>
      <xdr:rowOff>23206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0F454D2-438F-40B9-9FA5-B650A69CFC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7173" y="1154206"/>
              <a:ext cx="5260341" cy="30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593913</xdr:colOff>
      <xdr:row>5</xdr:row>
      <xdr:rowOff>175932</xdr:rowOff>
    </xdr:from>
    <xdr:to>
      <xdr:col>23</xdr:col>
      <xdr:colOff>367854</xdr:colOff>
      <xdr:row>21</xdr:row>
      <xdr:rowOff>187932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D1FF848-47F9-4C15-86F5-55566F81C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8313" y="1128432"/>
              <a:ext cx="5260341" cy="30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156482</xdr:colOff>
      <xdr:row>23</xdr:row>
      <xdr:rowOff>22411</xdr:rowOff>
    </xdr:from>
    <xdr:to>
      <xdr:col>32</xdr:col>
      <xdr:colOff>172820</xdr:colOff>
      <xdr:row>37</xdr:row>
      <xdr:rowOff>55411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B2C204-CD5B-433D-B0D8-F0FEFDFFD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535482</xdr:colOff>
      <xdr:row>5</xdr:row>
      <xdr:rowOff>171368</xdr:rowOff>
    </xdr:from>
    <xdr:to>
      <xdr:col>56</xdr:col>
      <xdr:colOff>551820</xdr:colOff>
      <xdr:row>20</xdr:row>
      <xdr:rowOff>13868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85E01AF-CAB8-42F8-AE1D-ED7765DB0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515471</xdr:colOff>
      <xdr:row>5</xdr:row>
      <xdr:rowOff>119862</xdr:rowOff>
    </xdr:from>
    <xdr:to>
      <xdr:col>48</xdr:col>
      <xdr:colOff>305522</xdr:colOff>
      <xdr:row>41</xdr:row>
      <xdr:rowOff>117142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EDC5592-3939-45B4-9E55-6A75BB5F0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43940</xdr:colOff>
      <xdr:row>30</xdr:row>
      <xdr:rowOff>172085</xdr:rowOff>
    </xdr:from>
    <xdr:to>
      <xdr:col>39</xdr:col>
      <xdr:colOff>234494</xdr:colOff>
      <xdr:row>35</xdr:row>
      <xdr:rowOff>125047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9E11218-4FAC-4E3B-8691-BA2B44F00DCA}"/>
            </a:ext>
          </a:extLst>
        </xdr:cNvPr>
        <xdr:cNvSpPr/>
      </xdr:nvSpPr>
      <xdr:spPr>
        <a:xfrm>
          <a:off x="20617940" y="5887085"/>
          <a:ext cx="3216142" cy="90546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34</xdr:col>
      <xdr:colOff>50510</xdr:colOff>
      <xdr:row>28</xdr:row>
      <xdr:rowOff>126103</xdr:rowOff>
    </xdr:from>
    <xdr:to>
      <xdr:col>42</xdr:col>
      <xdr:colOff>33136</xdr:colOff>
      <xdr:row>35</xdr:row>
      <xdr:rowOff>134599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C489E64-A051-4446-B75A-440B5DFF9D2D}"/>
            </a:ext>
          </a:extLst>
        </xdr:cNvPr>
        <xdr:cNvSpPr/>
      </xdr:nvSpPr>
      <xdr:spPr>
        <a:xfrm>
          <a:off x="20624510" y="5460103"/>
          <a:ext cx="4823567" cy="134199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36</xdr:col>
      <xdr:colOff>434881</xdr:colOff>
      <xdr:row>34</xdr:row>
      <xdr:rowOff>42707</xdr:rowOff>
    </xdr:from>
    <xdr:to>
      <xdr:col>38</xdr:col>
      <xdr:colOff>512876</xdr:colOff>
      <xdr:row>35</xdr:row>
      <xdr:rowOff>121535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3882782-9BBD-4998-85E2-6195F0F07D2A}"/>
            </a:ext>
          </a:extLst>
        </xdr:cNvPr>
        <xdr:cNvSpPr txBox="1"/>
      </xdr:nvSpPr>
      <xdr:spPr>
        <a:xfrm>
          <a:off x="22219116" y="6519707"/>
          <a:ext cx="1288231" cy="26932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AVG_Z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  <xdr:twoCellAnchor>
    <xdr:from>
      <xdr:col>39</xdr:col>
      <xdr:colOff>405638</xdr:colOff>
      <xdr:row>34</xdr:row>
      <xdr:rowOff>67191</xdr:rowOff>
    </xdr:from>
    <xdr:to>
      <xdr:col>41</xdr:col>
      <xdr:colOff>497549</xdr:colOff>
      <xdr:row>35</xdr:row>
      <xdr:rowOff>126312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2C0DDD5-1419-42A7-B587-ED444FE1BAE1}"/>
            </a:ext>
          </a:extLst>
        </xdr:cNvPr>
        <xdr:cNvSpPr txBox="1"/>
      </xdr:nvSpPr>
      <xdr:spPr>
        <a:xfrm>
          <a:off x="24005226" y="6544191"/>
          <a:ext cx="1302147" cy="24962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MAX_Z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  <xdr:twoCellAnchor>
    <xdr:from>
      <xdr:col>15</xdr:col>
      <xdr:colOff>62</xdr:colOff>
      <xdr:row>42</xdr:row>
      <xdr:rowOff>74077</xdr:rowOff>
    </xdr:from>
    <xdr:to>
      <xdr:col>24</xdr:col>
      <xdr:colOff>613789</xdr:colOff>
      <xdr:row>68</xdr:row>
      <xdr:rowOff>161077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4B098AF2-5FD4-439A-AA65-08DF726E1C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62" y="8075077"/>
              <a:ext cx="6100127" cy="50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98</xdr:row>
      <xdr:rowOff>135972</xdr:rowOff>
    </xdr:from>
    <xdr:to>
      <xdr:col>25</xdr:col>
      <xdr:colOff>788</xdr:colOff>
      <xdr:row>125</xdr:row>
      <xdr:rowOff>32472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42D27D52-EB02-40D6-87E2-BA649B6EF9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00" y="18804972"/>
              <a:ext cx="6096788" cy="50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606609</xdr:colOff>
      <xdr:row>70</xdr:row>
      <xdr:rowOff>127794</xdr:rowOff>
    </xdr:from>
    <xdr:to>
      <xdr:col>24</xdr:col>
      <xdr:colOff>607398</xdr:colOff>
      <xdr:row>97</xdr:row>
      <xdr:rowOff>24294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51AAB3C3-F7D1-4DD9-B9FA-8058D1C5F1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1009" y="13462794"/>
              <a:ext cx="6096789" cy="50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567225</xdr:colOff>
      <xdr:row>43</xdr:row>
      <xdr:rowOff>47625</xdr:rowOff>
    </xdr:from>
    <xdr:to>
      <xdr:col>35</xdr:col>
      <xdr:colOff>568012</xdr:colOff>
      <xdr:row>69</xdr:row>
      <xdr:rowOff>134625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6DD3074-6FDA-4E07-948E-AD895EA4B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462389</xdr:colOff>
      <xdr:row>73</xdr:row>
      <xdr:rowOff>7486</xdr:rowOff>
    </xdr:from>
    <xdr:to>
      <xdr:col>35</xdr:col>
      <xdr:colOff>504306</xdr:colOff>
      <xdr:row>99</xdr:row>
      <xdr:rowOff>94486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68F90F0-137E-4102-9DB8-680D970DF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257590</xdr:colOff>
      <xdr:row>43</xdr:row>
      <xdr:rowOff>49429</xdr:rowOff>
    </xdr:from>
    <xdr:to>
      <xdr:col>51</xdr:col>
      <xdr:colOff>340690</xdr:colOff>
      <xdr:row>78</xdr:row>
      <xdr:rowOff>156802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DB2C607-44B2-41D0-BA9E-F67F310B4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427357</xdr:colOff>
      <xdr:row>62</xdr:row>
      <xdr:rowOff>133042</xdr:rowOff>
    </xdr:from>
    <xdr:to>
      <xdr:col>43</xdr:col>
      <xdr:colOff>246948</xdr:colOff>
      <xdr:row>73</xdr:row>
      <xdr:rowOff>160515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B845EA-0CE7-416A-A6D3-01A98A2D9737}"/>
            </a:ext>
          </a:extLst>
        </xdr:cNvPr>
        <xdr:cNvSpPr/>
      </xdr:nvSpPr>
      <xdr:spPr>
        <a:xfrm>
          <a:off x="22854402" y="11944042"/>
          <a:ext cx="3456410" cy="2122973"/>
        </a:xfrm>
        <a:prstGeom prst="rect">
          <a:avLst/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d</a:t>
          </a:r>
        </a:p>
      </xdr:txBody>
    </xdr:sp>
    <xdr:clientData/>
  </xdr:twoCellAnchor>
  <xdr:twoCellAnchor>
    <xdr:from>
      <xdr:col>37</xdr:col>
      <xdr:colOff>428471</xdr:colOff>
      <xdr:row>57</xdr:row>
      <xdr:rowOff>28737</xdr:rowOff>
    </xdr:from>
    <xdr:to>
      <xdr:col>46</xdr:col>
      <xdr:colOff>152601</xdr:colOff>
      <xdr:row>73</xdr:row>
      <xdr:rowOff>158690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AAFCFE4-934B-4D97-A9F3-B9539D0AB707}"/>
            </a:ext>
          </a:extLst>
        </xdr:cNvPr>
        <xdr:cNvSpPr/>
      </xdr:nvSpPr>
      <xdr:spPr>
        <a:xfrm>
          <a:off x="22855516" y="10887237"/>
          <a:ext cx="5179358" cy="3177953"/>
        </a:xfrm>
        <a:prstGeom prst="rect">
          <a:avLst/>
        </a:prstGeom>
        <a:noFill/>
        <a:ln w="254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</a:t>
          </a:r>
        </a:p>
      </xdr:txBody>
    </xdr:sp>
    <xdr:clientData/>
  </xdr:twoCellAnchor>
  <xdr:twoCellAnchor>
    <xdr:from>
      <xdr:col>39</xdr:col>
      <xdr:colOff>75119</xdr:colOff>
      <xdr:row>72</xdr:row>
      <xdr:rowOff>68440</xdr:rowOff>
    </xdr:from>
    <xdr:to>
      <xdr:col>41</xdr:col>
      <xdr:colOff>176147</xdr:colOff>
      <xdr:row>73</xdr:row>
      <xdr:rowOff>147268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B33DDF4-413C-4DBE-9600-E1A45E79AA75}"/>
            </a:ext>
          </a:extLst>
        </xdr:cNvPr>
        <xdr:cNvSpPr txBox="1"/>
      </xdr:nvSpPr>
      <xdr:spPr>
        <a:xfrm>
          <a:off x="23714437" y="13784440"/>
          <a:ext cx="1313301" cy="26932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AVG_Z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  <xdr:twoCellAnchor>
    <xdr:from>
      <xdr:col>40</xdr:col>
      <xdr:colOff>582742</xdr:colOff>
      <xdr:row>57</xdr:row>
      <xdr:rowOff>47921</xdr:rowOff>
    </xdr:from>
    <xdr:to>
      <xdr:col>43</xdr:col>
      <xdr:colOff>83162</xdr:colOff>
      <xdr:row>58</xdr:row>
      <xdr:rowOff>107042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B3342ED-5FC8-4888-8275-D84E15FBD0EC}"/>
            </a:ext>
          </a:extLst>
        </xdr:cNvPr>
        <xdr:cNvSpPr txBox="1"/>
      </xdr:nvSpPr>
      <xdr:spPr>
        <a:xfrm>
          <a:off x="24828197" y="10906421"/>
          <a:ext cx="1318829" cy="24962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 b="1"/>
            <a:t>MAX_Z</a:t>
          </a:r>
          <a:r>
            <a:rPr lang="en-GB" sz="1050" b="1" baseline="0"/>
            <a:t> THRESHOLD</a:t>
          </a:r>
          <a:endParaRPr lang="en-GB" sz="105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4C306-ADF5-4603-831A-FAB15EA1A9C8}" name="Attempts" displayName="Attempts" ref="A1:AL121" totalsRowShown="0" headerRowDxfId="19">
  <autoFilter ref="A1:AL121" xr:uid="{0AD4C306-ADF5-4603-831A-FAB15EA1A9C8}"/>
  <sortState xmlns:xlrd2="http://schemas.microsoft.com/office/spreadsheetml/2017/richdata2" ref="A2:AH121">
    <sortCondition descending="1" ref="C1:C121"/>
  </sortState>
  <tableColumns count="38">
    <tableColumn id="1" xr3:uid="{28AE035D-8182-4D2B-B3AB-D07763E0A44E}" name="id">
      <calculatedColumnFormula>A1+1</calculatedColumnFormula>
    </tableColumn>
    <tableColumn id="2" xr3:uid="{E7DFE599-9A81-4F39-B60F-8B4C290E23A1}" name="username"/>
    <tableColumn id="3" xr3:uid="{E32BA009-3148-444C-B92B-D1C62EDC1EE0}" name="is_impostor"/>
    <tableColumn id="4" xr3:uid="{2C9B0AC3-9269-472B-B5F8-0C6ADDCDE625}" name="keystroke_result"/>
    <tableColumn id="5" xr3:uid="{10D591A2-FFF9-4BE3-A380-09296989550E}" name="graphical_result"/>
    <tableColumn id="6" xr3:uid="{32DB8DDE-DD8F-4EBE-9EC1-00EFF295894E}" name="mouse_result"/>
    <tableColumn id="7" xr3:uid="{FE6F00B3-CBB0-4B50-9F08-DAE335F01730}" name="final_result"/>
    <tableColumn id="8" xr3:uid="{26473E88-F298-46EC-B146-BCADA7371B3E}" name="login_time_seconds"/>
    <tableColumn id="9" xr3:uid="{8C43B15B-77EF-4AA8-BCE6-C7E787C51789}" name="keystroke_time"/>
    <tableColumn id="10" xr3:uid="{16627FA8-0C14-46B3-960B-B59971CAB2FB}" name="graphical_time">
      <calculatedColumnFormula>H2-(I2+K2)</calculatedColumnFormula>
    </tableColumn>
    <tableColumn id="11" xr3:uid="{D68A8209-45FC-4233-955E-DCBCC13F1D82}" name="mouse_time"/>
    <tableColumn id="12" xr3:uid="{893A439B-841E-4B4C-B2D8-13F25E0B0768}" name="login_attempt_number"/>
    <tableColumn id="13" xr3:uid="{2533EE38-062E-475A-BD52-E98FEED5D459}" name="backup_used"/>
    <tableColumn id="14" xr3:uid="{8371681A-E9CC-4F13-B074-6433D0B34C74}" name="prompt_match"/>
    <tableColumn id="15" xr3:uid="{F5DDC6AC-D42E-41EE-A2A1-63EE2A505F63}" name="graphical_selected_animal"/>
    <tableColumn id="16" xr3:uid="{F3DB0DD5-D42B-4A05-9091-2C6ED3E1E183}" name="graphical_selected_colour"/>
    <tableColumn id="17" xr3:uid="{BC7F1BB7-A817-4D29-8689-0ED2F9F886C4}" name="keystroke_avg_z"/>
    <tableColumn id="18" xr3:uid="{74B05191-DA7D-4287-A726-126D74F05270}" name="keystroke_max_z"/>
    <tableColumn id="19" xr3:uid="{8B2AB494-9932-4075-A982-AE1D0335CA58}" name="keystroke_similarity"/>
    <tableColumn id="20" xr3:uid="{3BDC02C7-1400-4C3B-BCCC-2CB28A9C6279}" name="mouse_avg_z"/>
    <tableColumn id="21" xr3:uid="{AC4FA26C-2078-4A56-8DED-69BDCC5F3950}" name="mouse_max_z"/>
    <tableColumn id="22" xr3:uid="{47C2F3DC-203C-4203-B14A-F276B97AA66F}" name="mouse_similarity"/>
    <tableColumn id="23" xr3:uid="{B52DFE1B-7524-4036-B917-79109AE39ACC}" name="FAR"/>
    <tableColumn id="24" xr3:uid="{B35F5356-7D0D-47E4-850D-E431739AA352}" name="FRR"/>
    <tableColumn id="25" xr3:uid="{1EEE4D10-2B3A-4413-BE70-3EE398FD1810}" name="TAR"/>
    <tableColumn id="26" xr3:uid="{C4C0E507-A26F-4B61-842E-6ADABAAF1833}" name="TRR"/>
    <tableColumn id="27" xr3:uid="{F7D4F15F-5695-49ED-87E9-7B6E39259438}" name="keystroke_pass" dataDxfId="18">
      <calculatedColumnFormula>IF(Attempts[[#This Row],[keystroke_result]]="logged in",1,0)</calculatedColumnFormula>
    </tableColumn>
    <tableColumn id="28" xr3:uid="{9EBCC9E4-4BBF-43F2-A814-DF8E2310F18B}" name="graphical_pass" dataDxfId="17">
      <calculatedColumnFormula>IF(Attempts[[#This Row],[graphical_result]]="logged in",1,0)</calculatedColumnFormula>
    </tableColumn>
    <tableColumn id="29" xr3:uid="{BC55ED47-2822-4D16-AC9D-924FD02855F7}" name="mouse_pass" dataDxfId="16">
      <calculatedColumnFormula>IF(Attempts[[#This Row],[mouse_result]]="logged in",1,0)</calculatedColumnFormula>
    </tableColumn>
    <tableColumn id="30" xr3:uid="{D91EFE87-BFE3-441A-8800-20817381D4B5}" name="final_pass" dataDxfId="15">
      <calculatedColumnFormula>IF(Attempts[[#This Row],[final_result]]="logged in",1,0)</calculatedColumnFormula>
    </tableColumn>
    <tableColumn id="31" xr3:uid="{A73CF1A4-74C3-4C27-A0E6-55010B4314B9}" name="genuine_flag" dataDxfId="14">
      <calculatedColumnFormula>IF(Attempts[[#This Row],[is_impostor]]=0,1,0)</calculatedColumnFormula>
    </tableColumn>
    <tableColumn id="32" xr3:uid="{52B28794-6FB0-412F-94BF-E35E036DB6EC}" name="impostor_flag" dataDxfId="13">
      <calculatedColumnFormula>IF(Attempts[[#This Row],[is_impostor]]=1,1,0)</calculatedColumnFormula>
    </tableColumn>
    <tableColumn id="33" xr3:uid="{9C1386CC-BDC5-414B-8B51-C198A719B8D5}" name="strict_3_gate_pass" dataDxfId="12">
      <calculatedColumnFormula>IF(AND(Attempts[[#This Row],[keystroke_pass]]=1,Attempts[[#This Row],[graphical_pass]]=1,Attempts[[#This Row],[mouse_pass]]=1),1,0)</calculatedColumnFormula>
    </tableColumn>
    <tableColumn id="34" xr3:uid="{B2ACD107-4FD8-440F-A236-E1F5ADAC8C80}" name="weighted_pass" dataDxfId="11">
      <calculatedColumnFormula>IF(AND(Attempts[[#This Row],[keystroke_pass]]=1, OR(Attempts[[#This Row],[graphical_pass]]=1, Attempts[[#This Row],[mouse_pass]]=1)), 1, 0)</calculatedColumnFormula>
    </tableColumn>
    <tableColumn id="35" xr3:uid="{C61D1594-5AAE-4B7B-A97E-D3FD6C4EC0F0}" name="tries_to_success" dataDxfId="10">
      <calculatedColumnFormula>IF(Attempts[[#This Row],[final_result]]="logged in",Attempts[[#This Row],[login_attempt_number]],"")</calculatedColumnFormula>
    </tableColumn>
    <tableColumn id="36" xr3:uid="{AEB6B208-7E5F-4923-9F17-F26E16790E74}" name="successful_genuine" dataDxfId="9">
      <calculatedColumnFormula>IF(AND(Attempts[[#This Row],[is_impostor]]=0,Attempts[[#This Row],[final_result]]="logged in"),1,0)</calculatedColumnFormula>
    </tableColumn>
    <tableColumn id="37" xr3:uid="{CCEB3C8B-4F1D-47D5-BAE5-913699AB696D}" name="genuine_success_with_retry" dataDxfId="8">
      <calculatedColumnFormula>IF(AND(Attempts[[#This Row],[is_impostor]]=0,Attempts[[#This Row],[final_result]]="logged in",Attempts[[#This Row],[tries_to_success]]&gt;1),1,0)</calculatedColumnFormula>
    </tableColumn>
    <tableColumn id="38" xr3:uid="{ABABF968-ECED-4392-BD0B-43BD9A213950}" name="prompt_error" dataDxfId="7">
      <calculatedColumnFormula>IF(Attempts[[#This Row],[prompt_match]]=0,1,0)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624CDD-F3A4-46E2-8BDA-687602E766EB}" name="Table5" displayName="Table5" ref="F4:I64" totalsRowShown="0" headerRowDxfId="6" headerRowBorderDxfId="5" tableBorderDxfId="4">
  <autoFilter ref="F4:I64" xr:uid="{BD624CDD-F3A4-46E2-8BDA-687602E766EB}"/>
  <tableColumns count="4">
    <tableColumn id="1" xr3:uid="{2ACDDA91-1013-4C89-8F85-D3FFB776CA9E}" name="id"/>
    <tableColumn id="2" xr3:uid="{E7F51B73-4CCC-43D0-8DDC-0B58F27E8DD1}" name="username"/>
    <tableColumn id="3" xr3:uid="{95565714-F5DF-43AE-97B2-817AB1351C20}" name="is_impostor"/>
    <tableColumn id="4" xr3:uid="{AD4041DF-55D3-4890-AE85-5F62FE6B3EB1}" name="Genuine_avg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63804C-8A60-4833-B9F1-F615A18D42F4}" name="PSSUQ" displayName="PSSUQ" ref="A1:U10" totalsRowShown="0">
  <autoFilter ref="A1:U10" xr:uid="{A463804C-8A60-4833-B9F1-F615A18D42F4}"/>
  <tableColumns count="21">
    <tableColumn id="1" xr3:uid="{AFF74C28-35E1-45A7-99B4-D15F465DF641}" name="participant"/>
    <tableColumn id="2" xr3:uid="{9C373BDF-858B-4A90-AADD-39A544A7693D}" name="Q1"/>
    <tableColumn id="3" xr3:uid="{1EBD5F61-1C1C-4B5B-B6BE-88970ED192B2}" name="Q2"/>
    <tableColumn id="4" xr3:uid="{AB7DB5AA-8275-44F6-86BE-6679F01D55AC}" name="Q3"/>
    <tableColumn id="5" xr3:uid="{A72288DD-07E0-4ECA-83E0-DBA345E86B26}" name="Q4"/>
    <tableColumn id="6" xr3:uid="{A4803A4C-B3F1-4FC1-9F01-120EE82E5B94}" name="Q5"/>
    <tableColumn id="7" xr3:uid="{2293EBE1-6E97-46B0-BD2A-5752B62F02BA}" name="Q6"/>
    <tableColumn id="8" xr3:uid="{855320E6-98BC-4E5C-9096-9FBB96257321}" name="Q7"/>
    <tableColumn id="9" xr3:uid="{936BA4D1-2C66-448A-9196-D80A1E5844BE}" name="Q8"/>
    <tableColumn id="10" xr3:uid="{C46791E2-BF6A-49BD-BAFA-0B1A78CAD1AB}" name="Q9"/>
    <tableColumn id="11" xr3:uid="{323ADCE8-E9C9-4B8C-AB16-84899A393BAA}" name="Q10"/>
    <tableColumn id="12" xr3:uid="{8889C068-D45F-4569-AC14-0C02386A2D62}" name="Q11"/>
    <tableColumn id="13" xr3:uid="{88B3DD04-0A23-49D4-8098-66DCDF55C405}" name="Q12"/>
    <tableColumn id="14" xr3:uid="{5CD2E7C0-3057-4B6A-991B-A5972B86C336}" name="Q13"/>
    <tableColumn id="15" xr3:uid="{D5A8CC76-2763-4BD5-9659-2DFEAAFB4A34}" name="Q14"/>
    <tableColumn id="16" xr3:uid="{C60641FB-1C6C-479C-8CB8-9BE05C4B55D1}" name="Q15"/>
    <tableColumn id="17" xr3:uid="{A2BF403A-DE2C-445C-B63B-9728C4B93A8C}" name="Q16"/>
    <tableColumn id="18" xr3:uid="{BC50C3E1-5AE8-4E18-BD61-06BF369C1724}" name="overall_score" dataDxfId="3">
      <calculatedColumnFormula>AVERAGE(B2:Q2)</calculatedColumnFormula>
    </tableColumn>
    <tableColumn id="19" xr3:uid="{36CCC620-7304-4E2C-B766-D31955BC3001}" name="SYSUSE" dataDxfId="2">
      <calculatedColumnFormula>AVERAGE(B2:G2)</calculatedColumnFormula>
    </tableColumn>
    <tableColumn id="20" xr3:uid="{A962FCD6-F459-4802-8AD5-942A865AD5A4}" name="INFOQUAL" dataDxfId="1">
      <calculatedColumnFormula>AVERAGE(H2:M2)</calculatedColumnFormula>
    </tableColumn>
    <tableColumn id="21" xr3:uid="{BBF0D941-2DC2-4031-A9D0-E4B98655EB64}" name="INTERQUAL" dataDxfId="0">
      <calculatedColumnFormula>AVERAGE(N2:Q2)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06754C-5268-4201-B1D6-4E040E63AE01}" name="Table4" displayName="Table4" ref="A1:AH28" totalsRowShown="0">
  <autoFilter ref="A1:AH28" xr:uid="{3606754C-5268-4201-B1D6-4E040E63AE01}"/>
  <tableColumns count="34">
    <tableColumn id="1" xr3:uid="{4BD49A16-F783-4C8D-B129-EA490E48F82A}" name="id"/>
    <tableColumn id="2" xr3:uid="{A444A053-9E40-47EC-AA29-3EC8DB236C21}" name="username"/>
    <tableColumn id="3" xr3:uid="{86D9A66B-4AE0-402D-85D5-352504218237}" name="is_impostor"/>
    <tableColumn id="4" xr3:uid="{8740CAD1-662B-4034-9F28-80CBAFDB1DB4}" name="keystroke_result"/>
    <tableColumn id="5" xr3:uid="{C3F71CF2-F063-49AF-B27B-6635D9DA3871}" name="graphical_result"/>
    <tableColumn id="6" xr3:uid="{3D5E89F4-8EC3-4CDA-BDAA-E4EBD6FC73D6}" name="mouse_result"/>
    <tableColumn id="7" xr3:uid="{7397F87E-6B92-486A-A9BE-90E4E461C53A}" name="final_result"/>
    <tableColumn id="8" xr3:uid="{D2AE55C6-43E4-4FCA-AC4F-36E9B578A632}" name="login_time_seconds"/>
    <tableColumn id="9" xr3:uid="{77E0226B-59E5-4B47-8FEC-9647F547635D}" name="keystroke_time"/>
    <tableColumn id="10" xr3:uid="{5DE91F77-D9BB-4DC8-9EDC-BABAFB69FF8A}" name="graphical_time"/>
    <tableColumn id="11" xr3:uid="{E44B4640-3EAC-4749-846D-6B5E6709D71F}" name="mouse_time"/>
    <tableColumn id="12" xr3:uid="{FB65520A-5342-4289-9A35-99594F08C9CA}" name="login_attempt_number"/>
    <tableColumn id="13" xr3:uid="{272E1EDB-048E-4B0E-A666-4D64B3B17E6B}" name="backup_used"/>
    <tableColumn id="14" xr3:uid="{418735A1-BF9B-451A-99E5-B4CCF869B037}" name="prompt_match"/>
    <tableColumn id="15" xr3:uid="{8C139C7D-CD4D-4D7C-9116-69E1E359A8CF}" name="graphical_selected_animal"/>
    <tableColumn id="16" xr3:uid="{343705C0-18B6-4571-8833-A474CA99481B}" name="graphical_selected_colour"/>
    <tableColumn id="17" xr3:uid="{D7D87BBA-B893-4DF1-9332-0B7101B93130}" name="keystroke_avg_z"/>
    <tableColumn id="18" xr3:uid="{490814A9-3C42-4806-B679-6AE922D165CC}" name="keystroke_max_z"/>
    <tableColumn id="19" xr3:uid="{07FCF2C2-5152-41BA-B720-5A9F008635F6}" name="keystroke_similarity"/>
    <tableColumn id="20" xr3:uid="{07F3D09E-61CB-4A1F-B7F8-7EAC07C67959}" name="mouse_avg_z"/>
    <tableColumn id="21" xr3:uid="{BBF5E95B-0E3B-4686-B6BF-6F9A41671726}" name="mouse_max_z"/>
    <tableColumn id="22" xr3:uid="{5A24E5CC-BB69-4B12-A348-1F4D5790B5B7}" name="mouse_similarity"/>
    <tableColumn id="23" xr3:uid="{C3AD1E4E-A59A-4B74-91CA-C2185CA4A327}" name="FAR"/>
    <tableColumn id="24" xr3:uid="{60E74347-2FCF-4C6F-8197-97C9D32E7280}" name="FRR"/>
    <tableColumn id="25" xr3:uid="{4E7E637F-2C69-43D7-A9B7-DD5F4C835450}" name="TAR"/>
    <tableColumn id="26" xr3:uid="{67875C4E-B90A-4140-B692-BC686D8C84D4}" name="TRR"/>
    <tableColumn id="27" xr3:uid="{C567D106-38B1-40F1-A9BE-E674ACFA115D}" name="keystroke_pass"/>
    <tableColumn id="28" xr3:uid="{60509623-A8C0-461F-A575-808FE411B827}" name="graphical_pass"/>
    <tableColumn id="29" xr3:uid="{8CC9C61A-51DA-45BF-A2C6-27AAC9741933}" name="mouse_pass"/>
    <tableColumn id="30" xr3:uid="{6A17CDD9-C014-48C2-A0B5-E7D36832E63B}" name="final_pass"/>
    <tableColumn id="31" xr3:uid="{5A1EA1BE-8B4B-42C3-9375-4E9E2310065D}" name="genuine_flag"/>
    <tableColumn id="32" xr3:uid="{ED85F8D5-8AC7-4C14-BC3E-7C184CCD04F0}" name="impostor_flag"/>
    <tableColumn id="33" xr3:uid="{7C99AD37-A855-484F-93C3-EB2412A18F8F}" name="strict_3_gat_pass"/>
    <tableColumn id="34" xr3:uid="{1174B4CE-871E-4178-AB9B-6B8D23751987}" name="weighted_pa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E73FA6-9E7F-484E-98C0-875A11B28C37}" name="exploratory" displayName="exploratory" ref="A1:V29" totalsRowShown="0">
  <autoFilter ref="A1:V29" xr:uid="{4FE73FA6-9E7F-484E-98C0-875A11B28C37}"/>
  <tableColumns count="22">
    <tableColumn id="1" xr3:uid="{D71F6ED9-B419-49D2-A792-12996E384E13}" name="id"/>
    <tableColumn id="2" xr3:uid="{EEE4907B-B7E3-41D6-AEE8-F0FCA455F04C}" name="username"/>
    <tableColumn id="3" xr3:uid="{8896DE38-2454-44CE-93A5-F775DEE3261C}" name="is_impostor"/>
    <tableColumn id="4" xr3:uid="{F944442C-BB3C-47BF-80B9-E3C1DF5B4AE0}" name="keystroke_result"/>
    <tableColumn id="5" xr3:uid="{84F10AF7-5FA1-4068-B735-1F527CE57FD9}" name="graphical_result"/>
    <tableColumn id="6" xr3:uid="{7C893237-A03F-4E6C-8B47-CAB2F01C29F5}" name="mouse_result"/>
    <tableColumn id="7" xr3:uid="{759ECEFA-D038-46C0-B44F-31716C537857}" name="final_result"/>
    <tableColumn id="8" xr3:uid="{D7383FB2-1043-48F6-BE6B-F1A0470B3CA0}" name="login_time_seconds"/>
    <tableColumn id="9" xr3:uid="{C7A6FA84-AB2B-4418-866E-100F2941620F}" name="keystroke_time"/>
    <tableColumn id="10" xr3:uid="{862E2FC8-8E92-4322-8D5C-FF7089882E21}" name="graphical_time"/>
    <tableColumn id="11" xr3:uid="{0A857667-E3F4-42CF-81A6-6CBAC11DAAAD}" name="mouse_time"/>
    <tableColumn id="12" xr3:uid="{FA56755B-AD07-45A6-A13C-05E0ACD5381B}" name="login_attempt_number"/>
    <tableColumn id="13" xr3:uid="{4BA44526-8368-4747-9E6C-4F7B2694874C}" name="backup_used"/>
    <tableColumn id="14" xr3:uid="{EAF71B95-4E69-44D8-A91C-E586971E760E}" name="prompt_match"/>
    <tableColumn id="15" xr3:uid="{1980DA9F-FB14-4562-94FE-31D1C9D23002}" name="graphical_selected_animal"/>
    <tableColumn id="16" xr3:uid="{D9FEDCEC-2435-465A-A58B-F0FBD1DD3B66}" name="graphical_selected_colour"/>
    <tableColumn id="17" xr3:uid="{A1D868C3-11F0-48B0-A6AC-13E383B9FF1B}" name="keystroke_avg_z"/>
    <tableColumn id="18" xr3:uid="{BFB88A71-8B92-4CE9-B24F-46A0CD5BD578}" name="keystroke_max_z"/>
    <tableColumn id="19" xr3:uid="{7370B624-8C0D-4CF1-993E-2EB94BF31B46}" name="keystroke_similarity"/>
    <tableColumn id="20" xr3:uid="{5470177A-2C7B-4778-8345-4F0569A375BA}" name="mouse_avg_z"/>
    <tableColumn id="21" xr3:uid="{87EEB621-69C9-4BC1-816C-1C5470B0267C}" name="mouse_max_z"/>
    <tableColumn id="22" xr3:uid="{3D1EF114-0D7B-4F50-BC1C-6E03AC4D942C}" name="mouse_simila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2518-8B3A-475A-A041-D4C5EF14ADDC}">
  <dimension ref="A1:AL137"/>
  <sheetViews>
    <sheetView topLeftCell="T25" zoomScale="70" zoomScaleNormal="70" workbookViewId="0">
      <selection activeCell="F73" sqref="F73"/>
    </sheetView>
  </sheetViews>
  <sheetFormatPr defaultColWidth="15.7109375" defaultRowHeight="15"/>
  <cols>
    <col min="1" max="1" width="6.85546875" bestFit="1" customWidth="1"/>
    <col min="2" max="2" width="12.5703125" bestFit="1" customWidth="1"/>
    <col min="3" max="3" width="14.140625" bestFit="1" customWidth="1"/>
    <col min="4" max="4" width="20.28515625" bestFit="1" customWidth="1"/>
    <col min="5" max="5" width="21.7109375" bestFit="1" customWidth="1"/>
    <col min="6" max="6" width="19.140625" bestFit="1" customWidth="1"/>
    <col min="7" max="7" width="16.7109375" bestFit="1" customWidth="1"/>
    <col min="8" max="8" width="23" bestFit="1" customWidth="1"/>
    <col min="9" max="9" width="21.140625" bestFit="1" customWidth="1"/>
    <col min="10" max="10" width="20.28515625" bestFit="1" customWidth="1"/>
    <col min="11" max="11" width="17.7109375" bestFit="1" customWidth="1"/>
    <col min="12" max="12" width="28.5703125" bestFit="1" customWidth="1"/>
    <col min="13" max="13" width="18.5703125" bestFit="1" customWidth="1"/>
    <col min="14" max="14" width="20.140625" bestFit="1" customWidth="1"/>
    <col min="15" max="15" width="33" bestFit="1" customWidth="1"/>
    <col min="16" max="16" width="33" customWidth="1"/>
    <col min="17" max="17" width="22.5703125" bestFit="1" customWidth="1"/>
    <col min="18" max="18" width="23" bestFit="1" customWidth="1"/>
    <col min="19" max="19" width="26.28515625" bestFit="1" customWidth="1"/>
    <col min="20" max="20" width="19.140625" bestFit="1" customWidth="1"/>
    <col min="21" max="21" width="19.7109375" bestFit="1" customWidth="1"/>
    <col min="22" max="22" width="22.85546875" bestFit="1" customWidth="1"/>
    <col min="23" max="26" width="9.7109375" bestFit="1" customWidth="1"/>
    <col min="27" max="27" width="17" bestFit="1" customWidth="1"/>
    <col min="28" max="28" width="20.7109375" bestFit="1" customWidth="1"/>
    <col min="29" max="29" width="18.140625" bestFit="1" customWidth="1"/>
    <col min="30" max="30" width="15.7109375" bestFit="1" customWidth="1"/>
    <col min="31" max="31" width="18.140625" bestFit="1" customWidth="1"/>
    <col min="32" max="32" width="19.7109375" bestFit="1" customWidth="1"/>
    <col min="33" max="33" width="28.85546875" customWidth="1"/>
    <col min="34" max="34" width="20.28515625" bestFit="1" customWidth="1"/>
    <col min="35" max="35" width="23.14062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109</v>
      </c>
      <c r="AH1" s="1" t="s">
        <v>48</v>
      </c>
      <c r="AI1" s="1" t="s">
        <v>159</v>
      </c>
      <c r="AJ1" s="1" t="s">
        <v>160</v>
      </c>
      <c r="AK1" s="1" t="s">
        <v>161</v>
      </c>
      <c r="AL1" s="1" t="s">
        <v>162</v>
      </c>
    </row>
    <row r="2" spans="1:38" s="15" customFormat="1">
      <c r="A2" s="15">
        <v>1</v>
      </c>
      <c r="B2" s="15" t="s">
        <v>150</v>
      </c>
      <c r="C2" s="15">
        <v>1</v>
      </c>
      <c r="D2" s="15" t="s">
        <v>27</v>
      </c>
      <c r="E2" s="15" t="s">
        <v>28</v>
      </c>
      <c r="F2" s="15" t="s">
        <v>27</v>
      </c>
      <c r="G2" s="15" t="s">
        <v>27</v>
      </c>
      <c r="H2" s="15">
        <v>14.786</v>
      </c>
      <c r="I2" s="15">
        <v>7.0289999999999999</v>
      </c>
      <c r="J2" s="15">
        <f t="shared" ref="J2:J33" si="0">H2-(I2+K2)</f>
        <v>3.6739999999999995</v>
      </c>
      <c r="K2" s="15">
        <v>4.0830000000000002</v>
      </c>
      <c r="L2" s="15">
        <v>2</v>
      </c>
      <c r="M2" s="15">
        <v>0</v>
      </c>
      <c r="N2" s="15">
        <v>1</v>
      </c>
      <c r="Q2" s="15">
        <v>0.13900000000000001</v>
      </c>
      <c r="R2" s="15">
        <v>0.191</v>
      </c>
      <c r="S2" s="15">
        <v>0.878</v>
      </c>
      <c r="T2" s="15">
        <v>0.41199999999999998</v>
      </c>
      <c r="U2" s="15">
        <v>0.68700000000000006</v>
      </c>
      <c r="V2" s="15">
        <v>0.70799999999999996</v>
      </c>
      <c r="AA2" s="15">
        <f>IF(Attempts[[#This Row],[keystroke_result]]="logged in",1,0)</f>
        <v>1</v>
      </c>
      <c r="AB2" s="15">
        <f>IF(Attempts[[#This Row],[graphical_result]]="logged in",1,0)</f>
        <v>0</v>
      </c>
      <c r="AC2" s="15">
        <f>IF(Attempts[[#This Row],[mouse_result]]="logged in",1,0)</f>
        <v>1</v>
      </c>
      <c r="AD2" s="15">
        <f>IF(Attempts[[#This Row],[final_result]]="logged in",1,0)</f>
        <v>1</v>
      </c>
      <c r="AE2" s="15">
        <f>IF(Attempts[[#This Row],[is_impostor]]=0,1,0)</f>
        <v>0</v>
      </c>
      <c r="AF2" s="15">
        <f>IF(Attempts[[#This Row],[is_impostor]]=1,1,0)</f>
        <v>1</v>
      </c>
      <c r="AG2" s="15">
        <f>IF(AND(Attempts[[#This Row],[keystroke_pass]]=1,Attempts[[#This Row],[graphical_pass]]=1,Attempts[[#This Row],[mouse_pass]]=1),1,0)</f>
        <v>0</v>
      </c>
      <c r="AH2" s="15">
        <f>IF(AND(Attempts[[#This Row],[keystroke_pass]]=1, OR(Attempts[[#This Row],[graphical_pass]]=1, Attempts[[#This Row],[mouse_pass]]=1)), 1, 0)</f>
        <v>1</v>
      </c>
      <c r="AI2" s="15">
        <f>IF(Attempts[[#This Row],[final_result]]="logged in",Attempts[[#This Row],[login_attempt_number]],"")</f>
        <v>2</v>
      </c>
      <c r="AJ2" s="15">
        <f>IF(AND(Attempts[[#This Row],[is_impostor]]=0,Attempts[[#This Row],[final_result]]="logged in"),1,0)</f>
        <v>0</v>
      </c>
      <c r="AK2" s="15">
        <f>IF(AND(Attempts[[#This Row],[is_impostor]]=0,Attempts[[#This Row],[final_result]]="logged in",Attempts[[#This Row],[tries_to_success]]&gt;1),1,0)</f>
        <v>0</v>
      </c>
      <c r="AL2" s="15">
        <f>IF(Attempts[[#This Row],[prompt_match]]=0,1,0)</f>
        <v>0</v>
      </c>
    </row>
    <row r="3" spans="1:38">
      <c r="A3">
        <f t="shared" ref="A3:A34" si="1">A2+1</f>
        <v>2</v>
      </c>
      <c r="B3" t="s">
        <v>150</v>
      </c>
      <c r="C3">
        <v>1</v>
      </c>
      <c r="D3" t="s">
        <v>28</v>
      </c>
      <c r="E3" t="s">
        <v>28</v>
      </c>
      <c r="F3" t="s">
        <v>27</v>
      </c>
      <c r="G3" t="s">
        <v>28</v>
      </c>
      <c r="H3">
        <v>39.012</v>
      </c>
      <c r="I3">
        <v>13.683999999999999</v>
      </c>
      <c r="J3">
        <f t="shared" si="0"/>
        <v>22.804000000000002</v>
      </c>
      <c r="K3">
        <v>2.524</v>
      </c>
      <c r="L3">
        <v>1</v>
      </c>
      <c r="M3">
        <v>0</v>
      </c>
      <c r="N3">
        <v>1</v>
      </c>
      <c r="Q3">
        <v>3.6070000000000002</v>
      </c>
      <c r="R3">
        <v>12.323</v>
      </c>
      <c r="S3">
        <v>0.217</v>
      </c>
      <c r="T3">
        <v>0.68200000000000005</v>
      </c>
      <c r="U3">
        <v>0.97699999999999998</v>
      </c>
      <c r="V3">
        <v>0.59499999999999997</v>
      </c>
      <c r="AA3">
        <f>IF(Attempts[[#This Row],[keystroke_result]]="logged in",1,0)</f>
        <v>0</v>
      </c>
      <c r="AB3">
        <f>IF(Attempts[[#This Row],[graphical_result]]="logged in",1,0)</f>
        <v>0</v>
      </c>
      <c r="AC3">
        <f>IF(Attempts[[#This Row],[mouse_result]]="logged in",1,0)</f>
        <v>1</v>
      </c>
      <c r="AD3">
        <f>IF(Attempts[[#This Row],[final_result]]="logged in",1,0)</f>
        <v>0</v>
      </c>
      <c r="AE3">
        <f>IF(Attempts[[#This Row],[is_impostor]]=0,1,0)</f>
        <v>0</v>
      </c>
      <c r="AF3">
        <f>IF(Attempts[[#This Row],[is_impostor]]=1,1,0)</f>
        <v>1</v>
      </c>
      <c r="AG3">
        <f>IF(AND(Attempts[[#This Row],[keystroke_pass]]=1,Attempts[[#This Row],[graphical_pass]]=1,Attempts[[#This Row],[mouse_pass]]=1),1,0)</f>
        <v>0</v>
      </c>
      <c r="AH3">
        <f>IF(AND(Attempts[[#This Row],[keystroke_pass]]=1, OR(Attempts[[#This Row],[graphical_pass]]=1, Attempts[[#This Row],[mouse_pass]]=1)), 1, 0)</f>
        <v>0</v>
      </c>
      <c r="AI3" t="str">
        <f>IF(Attempts[[#This Row],[final_result]]="logged in",Attempts[[#This Row],[login_attempt_number]],"")</f>
        <v/>
      </c>
      <c r="AJ3">
        <f>IF(AND(Attempts[[#This Row],[is_impostor]]=0,Attempts[[#This Row],[final_result]]="logged in"),1,0)</f>
        <v>0</v>
      </c>
      <c r="AK3">
        <f>IF(AND(Attempts[[#This Row],[is_impostor]]=0,Attempts[[#This Row],[final_result]]="logged in",Attempts[[#This Row],[tries_to_success]]&gt;1),1,0)</f>
        <v>0</v>
      </c>
      <c r="AL3">
        <f>IF(Attempts[[#This Row],[prompt_match]]=0,1,0)</f>
        <v>0</v>
      </c>
    </row>
    <row r="4" spans="1:38">
      <c r="A4">
        <f t="shared" si="1"/>
        <v>3</v>
      </c>
      <c r="B4" t="s">
        <v>150</v>
      </c>
      <c r="C4">
        <v>1</v>
      </c>
      <c r="D4" t="s">
        <v>28</v>
      </c>
      <c r="E4" t="s">
        <v>27</v>
      </c>
      <c r="F4" t="s">
        <v>27</v>
      </c>
      <c r="G4" t="s">
        <v>28</v>
      </c>
      <c r="H4">
        <v>17.713000000000001</v>
      </c>
      <c r="I4">
        <v>10.676</v>
      </c>
      <c r="J4">
        <f t="shared" si="0"/>
        <v>4.2570000000000014</v>
      </c>
      <c r="K4">
        <v>2.78</v>
      </c>
      <c r="L4">
        <v>3</v>
      </c>
      <c r="M4">
        <v>0</v>
      </c>
      <c r="N4">
        <v>1</v>
      </c>
      <c r="O4" t="s">
        <v>29</v>
      </c>
      <c r="P4" t="s">
        <v>30</v>
      </c>
      <c r="Q4">
        <v>0.63900000000000001</v>
      </c>
      <c r="R4">
        <v>0.90500000000000003</v>
      </c>
      <c r="S4">
        <v>0.61</v>
      </c>
      <c r="T4">
        <v>0.77300000000000002</v>
      </c>
      <c r="U4">
        <v>1.1539999999999999</v>
      </c>
      <c r="V4">
        <v>0.56399999999999995</v>
      </c>
      <c r="AA4">
        <f>IF(Attempts[[#This Row],[keystroke_result]]="logged in",1,0)</f>
        <v>0</v>
      </c>
      <c r="AB4">
        <f>IF(Attempts[[#This Row],[graphical_result]]="logged in",1,0)</f>
        <v>1</v>
      </c>
      <c r="AC4">
        <f>IF(Attempts[[#This Row],[mouse_result]]="logged in",1,0)</f>
        <v>1</v>
      </c>
      <c r="AD4">
        <f>IF(Attempts[[#This Row],[final_result]]="logged in",1,0)</f>
        <v>0</v>
      </c>
      <c r="AE4">
        <f>IF(Attempts[[#This Row],[is_impostor]]=0,1,0)</f>
        <v>0</v>
      </c>
      <c r="AF4">
        <f>IF(Attempts[[#This Row],[is_impostor]]=1,1,0)</f>
        <v>1</v>
      </c>
      <c r="AG4">
        <f>IF(AND(Attempts[[#This Row],[keystroke_pass]]=1,Attempts[[#This Row],[graphical_pass]]=1,Attempts[[#This Row],[mouse_pass]]=1),1,0)</f>
        <v>0</v>
      </c>
      <c r="AH4">
        <f>IF(AND(Attempts[[#This Row],[keystroke_pass]]=1, OR(Attempts[[#This Row],[graphical_pass]]=1, Attempts[[#This Row],[mouse_pass]]=1)), 1, 0)</f>
        <v>0</v>
      </c>
      <c r="AI4" t="str">
        <f>IF(Attempts[[#This Row],[final_result]]="logged in",Attempts[[#This Row],[login_attempt_number]],"")</f>
        <v/>
      </c>
      <c r="AJ4">
        <f>IF(AND(Attempts[[#This Row],[is_impostor]]=0,Attempts[[#This Row],[final_result]]="logged in"),1,0)</f>
        <v>0</v>
      </c>
      <c r="AK4">
        <f>IF(AND(Attempts[[#This Row],[is_impostor]]=0,Attempts[[#This Row],[final_result]]="logged in",Attempts[[#This Row],[tries_to_success]]&gt;1),1,0)</f>
        <v>0</v>
      </c>
      <c r="AL4">
        <f>IF(Attempts[[#This Row],[prompt_match]]=0,1,0)</f>
        <v>0</v>
      </c>
    </row>
    <row r="5" spans="1:38">
      <c r="A5">
        <f t="shared" si="1"/>
        <v>4</v>
      </c>
      <c r="B5" t="s">
        <v>150</v>
      </c>
      <c r="C5">
        <v>1</v>
      </c>
      <c r="D5" t="s">
        <v>28</v>
      </c>
      <c r="E5" t="s">
        <v>27</v>
      </c>
      <c r="F5" t="s">
        <v>27</v>
      </c>
      <c r="G5" t="s">
        <v>28</v>
      </c>
      <c r="H5">
        <v>17.23</v>
      </c>
      <c r="I5">
        <v>9.8819999999999997</v>
      </c>
      <c r="J5">
        <f t="shared" si="0"/>
        <v>4.0350000000000001</v>
      </c>
      <c r="K5">
        <v>3.3130000000000002</v>
      </c>
      <c r="L5">
        <v>2</v>
      </c>
      <c r="M5">
        <v>0</v>
      </c>
      <c r="N5">
        <v>1</v>
      </c>
      <c r="O5" t="s">
        <v>29</v>
      </c>
      <c r="P5" t="s">
        <v>30</v>
      </c>
      <c r="Q5">
        <v>0.93200000000000005</v>
      </c>
      <c r="R5">
        <v>1.1379999999999999</v>
      </c>
      <c r="S5">
        <v>0.51800000000000002</v>
      </c>
      <c r="T5">
        <v>0.28999999999999998</v>
      </c>
      <c r="U5">
        <v>0.67200000000000004</v>
      </c>
      <c r="V5">
        <v>0.77500000000000002</v>
      </c>
      <c r="AA5">
        <f>IF(Attempts[[#This Row],[keystroke_result]]="logged in",1,0)</f>
        <v>0</v>
      </c>
      <c r="AB5">
        <f>IF(Attempts[[#This Row],[graphical_result]]="logged in",1,0)</f>
        <v>1</v>
      </c>
      <c r="AC5">
        <f>IF(Attempts[[#This Row],[mouse_result]]="logged in",1,0)</f>
        <v>1</v>
      </c>
      <c r="AD5">
        <f>IF(Attempts[[#This Row],[final_result]]="logged in",1,0)</f>
        <v>0</v>
      </c>
      <c r="AE5">
        <f>IF(Attempts[[#This Row],[is_impostor]]=0,1,0)</f>
        <v>0</v>
      </c>
      <c r="AF5">
        <f>IF(Attempts[[#This Row],[is_impostor]]=1,1,0)</f>
        <v>1</v>
      </c>
      <c r="AG5">
        <f>IF(AND(Attempts[[#This Row],[keystroke_pass]]=1,Attempts[[#This Row],[graphical_pass]]=1,Attempts[[#This Row],[mouse_pass]]=1),1,0)</f>
        <v>0</v>
      </c>
      <c r="AH5">
        <f>IF(AND(Attempts[[#This Row],[keystroke_pass]]=1, OR(Attempts[[#This Row],[graphical_pass]]=1, Attempts[[#This Row],[mouse_pass]]=1)), 1, 0)</f>
        <v>0</v>
      </c>
      <c r="AI5" t="str">
        <f>IF(Attempts[[#This Row],[final_result]]="logged in",Attempts[[#This Row],[login_attempt_number]],"")</f>
        <v/>
      </c>
      <c r="AJ5">
        <f>IF(AND(Attempts[[#This Row],[is_impostor]]=0,Attempts[[#This Row],[final_result]]="logged in"),1,0)</f>
        <v>0</v>
      </c>
      <c r="AK5">
        <f>IF(AND(Attempts[[#This Row],[is_impostor]]=0,Attempts[[#This Row],[final_result]]="logged in",Attempts[[#This Row],[tries_to_success]]&gt;1),1,0)</f>
        <v>0</v>
      </c>
      <c r="AL5">
        <f>IF(Attempts[[#This Row],[prompt_match]]=0,1,0)</f>
        <v>0</v>
      </c>
    </row>
    <row r="6" spans="1:38">
      <c r="A6">
        <f t="shared" si="1"/>
        <v>5</v>
      </c>
      <c r="B6" t="s">
        <v>150</v>
      </c>
      <c r="C6">
        <v>1</v>
      </c>
      <c r="D6" t="s">
        <v>28</v>
      </c>
      <c r="E6" t="s">
        <v>28</v>
      </c>
      <c r="F6" t="s">
        <v>27</v>
      </c>
      <c r="G6" t="s">
        <v>28</v>
      </c>
      <c r="H6">
        <v>24.149000000000001</v>
      </c>
      <c r="I6">
        <v>11.757</v>
      </c>
      <c r="J6">
        <f t="shared" si="0"/>
        <v>8.8080000000000016</v>
      </c>
      <c r="K6">
        <v>3.5840000000000001</v>
      </c>
      <c r="L6">
        <v>1</v>
      </c>
      <c r="M6">
        <v>0</v>
      </c>
      <c r="N6">
        <v>1</v>
      </c>
      <c r="Q6">
        <v>1.4350000000000001</v>
      </c>
      <c r="R6">
        <v>1.712</v>
      </c>
      <c r="S6">
        <v>0.41099999999999998</v>
      </c>
      <c r="T6">
        <v>0.504</v>
      </c>
      <c r="U6">
        <v>0.90200000000000002</v>
      </c>
      <c r="V6">
        <v>0.66500000000000004</v>
      </c>
      <c r="AA6">
        <f>IF(Attempts[[#This Row],[keystroke_result]]="logged in",1,0)</f>
        <v>0</v>
      </c>
      <c r="AB6">
        <f>IF(Attempts[[#This Row],[graphical_result]]="logged in",1,0)</f>
        <v>0</v>
      </c>
      <c r="AC6">
        <f>IF(Attempts[[#This Row],[mouse_result]]="logged in",1,0)</f>
        <v>1</v>
      </c>
      <c r="AD6">
        <f>IF(Attempts[[#This Row],[final_result]]="logged in",1,0)</f>
        <v>0</v>
      </c>
      <c r="AE6">
        <f>IF(Attempts[[#This Row],[is_impostor]]=0,1,0)</f>
        <v>0</v>
      </c>
      <c r="AF6">
        <f>IF(Attempts[[#This Row],[is_impostor]]=1,1,0)</f>
        <v>1</v>
      </c>
      <c r="AG6">
        <f>IF(AND(Attempts[[#This Row],[keystroke_pass]]=1,Attempts[[#This Row],[graphical_pass]]=1,Attempts[[#This Row],[mouse_pass]]=1),1,0)</f>
        <v>0</v>
      </c>
      <c r="AH6">
        <f>IF(AND(Attempts[[#This Row],[keystroke_pass]]=1, OR(Attempts[[#This Row],[graphical_pass]]=1, Attempts[[#This Row],[mouse_pass]]=1)), 1, 0)</f>
        <v>0</v>
      </c>
      <c r="AI6" t="str">
        <f>IF(Attempts[[#This Row],[final_result]]="logged in",Attempts[[#This Row],[login_attempt_number]],"")</f>
        <v/>
      </c>
      <c r="AJ6">
        <f>IF(AND(Attempts[[#This Row],[is_impostor]]=0,Attempts[[#This Row],[final_result]]="logged in"),1,0)</f>
        <v>0</v>
      </c>
      <c r="AK6">
        <f>IF(AND(Attempts[[#This Row],[is_impostor]]=0,Attempts[[#This Row],[final_result]]="logged in",Attempts[[#This Row],[tries_to_success]]&gt;1),1,0)</f>
        <v>0</v>
      </c>
      <c r="AL6">
        <f>IF(Attempts[[#This Row],[prompt_match]]=0,1,0)</f>
        <v>0</v>
      </c>
    </row>
    <row r="7" spans="1:38" s="15" customFormat="1">
      <c r="A7" s="15">
        <f t="shared" si="1"/>
        <v>6</v>
      </c>
      <c r="B7" s="15" t="s">
        <v>150</v>
      </c>
      <c r="C7" s="15">
        <v>1</v>
      </c>
      <c r="D7" s="15" t="s">
        <v>27</v>
      </c>
      <c r="E7" s="15" t="s">
        <v>28</v>
      </c>
      <c r="F7" s="15" t="s">
        <v>27</v>
      </c>
      <c r="G7" s="15" t="s">
        <v>27</v>
      </c>
      <c r="H7" s="15">
        <v>16.57</v>
      </c>
      <c r="I7" s="15">
        <v>8.0709999999999997</v>
      </c>
      <c r="J7" s="15">
        <f t="shared" si="0"/>
        <v>4.5560000000000009</v>
      </c>
      <c r="K7" s="15">
        <v>3.9430000000000001</v>
      </c>
      <c r="L7" s="15">
        <v>2</v>
      </c>
      <c r="M7" s="15">
        <v>0</v>
      </c>
      <c r="N7" s="15">
        <v>1</v>
      </c>
      <c r="Q7" s="15">
        <v>0.17399999999999999</v>
      </c>
      <c r="R7" s="15">
        <v>0.23799999999999999</v>
      </c>
      <c r="S7" s="15">
        <v>0.85199999999999998</v>
      </c>
      <c r="T7" s="15">
        <v>0.38200000000000001</v>
      </c>
      <c r="U7" s="15">
        <v>0.73099999999999998</v>
      </c>
      <c r="V7" s="15">
        <v>0.72399999999999998</v>
      </c>
      <c r="AA7" s="15">
        <f>IF(Attempts[[#This Row],[keystroke_result]]="logged in",1,0)</f>
        <v>1</v>
      </c>
      <c r="AB7" s="15">
        <f>IF(Attempts[[#This Row],[graphical_result]]="logged in",1,0)</f>
        <v>0</v>
      </c>
      <c r="AC7" s="15">
        <f>IF(Attempts[[#This Row],[mouse_result]]="logged in",1,0)</f>
        <v>1</v>
      </c>
      <c r="AD7" s="15">
        <f>IF(Attempts[[#This Row],[final_result]]="logged in",1,0)</f>
        <v>1</v>
      </c>
      <c r="AE7" s="15">
        <f>IF(Attempts[[#This Row],[is_impostor]]=0,1,0)</f>
        <v>0</v>
      </c>
      <c r="AF7" s="15">
        <f>IF(Attempts[[#This Row],[is_impostor]]=1,1,0)</f>
        <v>1</v>
      </c>
      <c r="AG7" s="15">
        <f>IF(AND(Attempts[[#This Row],[keystroke_pass]]=1,Attempts[[#This Row],[graphical_pass]]=1,Attempts[[#This Row],[mouse_pass]]=1),1,0)</f>
        <v>0</v>
      </c>
      <c r="AH7" s="15">
        <f>IF(AND(Attempts[[#This Row],[keystroke_pass]]=1, OR(Attempts[[#This Row],[graphical_pass]]=1, Attempts[[#This Row],[mouse_pass]]=1)), 1, 0)</f>
        <v>1</v>
      </c>
      <c r="AI7" s="15">
        <f>IF(Attempts[[#This Row],[final_result]]="logged in",Attempts[[#This Row],[login_attempt_number]],"")</f>
        <v>2</v>
      </c>
      <c r="AJ7" s="15">
        <f>IF(AND(Attempts[[#This Row],[is_impostor]]=0,Attempts[[#This Row],[final_result]]="logged in"),1,0)</f>
        <v>0</v>
      </c>
      <c r="AK7" s="15">
        <f>IF(AND(Attempts[[#This Row],[is_impostor]]=0,Attempts[[#This Row],[final_result]]="logged in",Attempts[[#This Row],[tries_to_success]]&gt;1),1,0)</f>
        <v>0</v>
      </c>
      <c r="AL7" s="15">
        <f>IF(Attempts[[#This Row],[prompt_match]]=0,1,0)</f>
        <v>0</v>
      </c>
    </row>
    <row r="8" spans="1:38">
      <c r="A8">
        <f t="shared" si="1"/>
        <v>7</v>
      </c>
      <c r="B8" t="s">
        <v>150</v>
      </c>
      <c r="C8">
        <v>1</v>
      </c>
      <c r="D8" t="s">
        <v>28</v>
      </c>
      <c r="E8" t="s">
        <v>28</v>
      </c>
      <c r="F8" t="s">
        <v>28</v>
      </c>
      <c r="G8" t="s">
        <v>28</v>
      </c>
      <c r="H8">
        <v>18.062000000000001</v>
      </c>
      <c r="I8">
        <v>10.343</v>
      </c>
      <c r="J8">
        <f t="shared" si="0"/>
        <v>3.6480000000000015</v>
      </c>
      <c r="K8">
        <v>4.0709999999999997</v>
      </c>
      <c r="L8">
        <v>1</v>
      </c>
      <c r="M8">
        <v>0</v>
      </c>
      <c r="N8">
        <v>1</v>
      </c>
      <c r="Q8">
        <v>0.58499999999999996</v>
      </c>
      <c r="R8">
        <v>0.63800000000000001</v>
      </c>
      <c r="S8">
        <v>0.63100000000000001</v>
      </c>
      <c r="T8">
        <v>0.86199999999999999</v>
      </c>
      <c r="U8">
        <v>2.1659999999999999</v>
      </c>
      <c r="V8">
        <v>0.53700000000000003</v>
      </c>
      <c r="AA8">
        <f>IF(Attempts[[#This Row],[keystroke_result]]="logged in",1,0)</f>
        <v>0</v>
      </c>
      <c r="AB8">
        <f>IF(Attempts[[#This Row],[graphical_result]]="logged in",1,0)</f>
        <v>0</v>
      </c>
      <c r="AC8">
        <f>IF(Attempts[[#This Row],[mouse_result]]="logged in",1,0)</f>
        <v>0</v>
      </c>
      <c r="AD8">
        <f>IF(Attempts[[#This Row],[final_result]]="logged in",1,0)</f>
        <v>0</v>
      </c>
      <c r="AE8">
        <f>IF(Attempts[[#This Row],[is_impostor]]=0,1,0)</f>
        <v>0</v>
      </c>
      <c r="AF8">
        <f>IF(Attempts[[#This Row],[is_impostor]]=1,1,0)</f>
        <v>1</v>
      </c>
      <c r="AG8">
        <f>IF(AND(Attempts[[#This Row],[keystroke_pass]]=1,Attempts[[#This Row],[graphical_pass]]=1,Attempts[[#This Row],[mouse_pass]]=1),1,0)</f>
        <v>0</v>
      </c>
      <c r="AH8">
        <f>IF(AND(Attempts[[#This Row],[keystroke_pass]]=1, OR(Attempts[[#This Row],[graphical_pass]]=1, Attempts[[#This Row],[mouse_pass]]=1)), 1, 0)</f>
        <v>0</v>
      </c>
      <c r="AI8" t="str">
        <f>IF(Attempts[[#This Row],[final_result]]="logged in",Attempts[[#This Row],[login_attempt_number]],"")</f>
        <v/>
      </c>
      <c r="AJ8">
        <f>IF(AND(Attempts[[#This Row],[is_impostor]]=0,Attempts[[#This Row],[final_result]]="logged in"),1,0)</f>
        <v>0</v>
      </c>
      <c r="AK8">
        <f>IF(AND(Attempts[[#This Row],[is_impostor]]=0,Attempts[[#This Row],[final_result]]="logged in",Attempts[[#This Row],[tries_to_success]]&gt;1),1,0)</f>
        <v>0</v>
      </c>
      <c r="AL8">
        <f>IF(Attempts[[#This Row],[prompt_match]]=0,1,0)</f>
        <v>0</v>
      </c>
    </row>
    <row r="9" spans="1:38">
      <c r="A9">
        <f t="shared" si="1"/>
        <v>8</v>
      </c>
      <c r="B9" t="s">
        <v>150</v>
      </c>
      <c r="C9">
        <v>1</v>
      </c>
      <c r="D9" t="s">
        <v>28</v>
      </c>
      <c r="E9" t="s">
        <v>28</v>
      </c>
      <c r="F9" t="s">
        <v>27</v>
      </c>
      <c r="G9" t="s">
        <v>28</v>
      </c>
      <c r="H9">
        <v>19.911999999999999</v>
      </c>
      <c r="I9">
        <v>10.503</v>
      </c>
      <c r="J9">
        <f t="shared" si="0"/>
        <v>5.0589999999999993</v>
      </c>
      <c r="K9">
        <v>4.3499999999999996</v>
      </c>
      <c r="L9">
        <v>3</v>
      </c>
      <c r="M9">
        <v>0</v>
      </c>
      <c r="N9">
        <v>1</v>
      </c>
      <c r="Q9">
        <v>0.92400000000000004</v>
      </c>
      <c r="R9">
        <v>2.1579999999999999</v>
      </c>
      <c r="S9">
        <v>0.52</v>
      </c>
      <c r="T9">
        <v>0.85099999999999998</v>
      </c>
      <c r="U9">
        <v>1.738</v>
      </c>
      <c r="V9">
        <v>0.54</v>
      </c>
      <c r="AA9">
        <f>IF(Attempts[[#This Row],[keystroke_result]]="logged in",1,0)</f>
        <v>0</v>
      </c>
      <c r="AB9">
        <f>IF(Attempts[[#This Row],[graphical_result]]="logged in",1,0)</f>
        <v>0</v>
      </c>
      <c r="AC9">
        <f>IF(Attempts[[#This Row],[mouse_result]]="logged in",1,0)</f>
        <v>1</v>
      </c>
      <c r="AD9">
        <f>IF(Attempts[[#This Row],[final_result]]="logged in",1,0)</f>
        <v>0</v>
      </c>
      <c r="AE9">
        <f>IF(Attempts[[#This Row],[is_impostor]]=0,1,0)</f>
        <v>0</v>
      </c>
      <c r="AF9">
        <f>IF(Attempts[[#This Row],[is_impostor]]=1,1,0)</f>
        <v>1</v>
      </c>
      <c r="AG9">
        <f>IF(AND(Attempts[[#This Row],[keystroke_pass]]=1,Attempts[[#This Row],[graphical_pass]]=1,Attempts[[#This Row],[mouse_pass]]=1),1,0)</f>
        <v>0</v>
      </c>
      <c r="AH9">
        <f>IF(AND(Attempts[[#This Row],[keystroke_pass]]=1, OR(Attempts[[#This Row],[graphical_pass]]=1, Attempts[[#This Row],[mouse_pass]]=1)), 1, 0)</f>
        <v>0</v>
      </c>
      <c r="AI9" t="str">
        <f>IF(Attempts[[#This Row],[final_result]]="logged in",Attempts[[#This Row],[login_attempt_number]],"")</f>
        <v/>
      </c>
      <c r="AJ9">
        <f>IF(AND(Attempts[[#This Row],[is_impostor]]=0,Attempts[[#This Row],[final_result]]="logged in"),1,0)</f>
        <v>0</v>
      </c>
      <c r="AK9">
        <f>IF(AND(Attempts[[#This Row],[is_impostor]]=0,Attempts[[#This Row],[final_result]]="logged in",Attempts[[#This Row],[tries_to_success]]&gt;1),1,0)</f>
        <v>0</v>
      </c>
      <c r="AL9">
        <f>IF(Attempts[[#This Row],[prompt_match]]=0,1,0)</f>
        <v>0</v>
      </c>
    </row>
    <row r="10" spans="1:38">
      <c r="A10">
        <f t="shared" si="1"/>
        <v>9</v>
      </c>
      <c r="B10" t="s">
        <v>150</v>
      </c>
      <c r="C10">
        <v>1</v>
      </c>
      <c r="D10" t="s">
        <v>28</v>
      </c>
      <c r="E10" t="s">
        <v>27</v>
      </c>
      <c r="F10" t="s">
        <v>28</v>
      </c>
      <c r="G10" t="s">
        <v>28</v>
      </c>
      <c r="H10">
        <v>22.936</v>
      </c>
      <c r="I10">
        <v>14.99</v>
      </c>
      <c r="J10">
        <f t="shared" si="0"/>
        <v>3.5440000000000005</v>
      </c>
      <c r="K10">
        <v>4.4020000000000001</v>
      </c>
      <c r="L10">
        <v>2</v>
      </c>
      <c r="M10">
        <v>0</v>
      </c>
      <c r="N10">
        <v>1</v>
      </c>
      <c r="O10" t="s">
        <v>29</v>
      </c>
      <c r="P10" t="s">
        <v>30</v>
      </c>
      <c r="Q10">
        <v>0.78300000000000003</v>
      </c>
      <c r="R10">
        <v>1.113</v>
      </c>
      <c r="S10">
        <v>0.56100000000000005</v>
      </c>
      <c r="T10">
        <v>1.1000000000000001</v>
      </c>
      <c r="U10">
        <v>2.4910000000000001</v>
      </c>
      <c r="V10">
        <v>0.47599999999999998</v>
      </c>
      <c r="AA10">
        <f>IF(Attempts[[#This Row],[keystroke_result]]="logged in",1,0)</f>
        <v>0</v>
      </c>
      <c r="AB10">
        <f>IF(Attempts[[#This Row],[graphical_result]]="logged in",1,0)</f>
        <v>1</v>
      </c>
      <c r="AC10">
        <f>IF(Attempts[[#This Row],[mouse_result]]="logged in",1,0)</f>
        <v>0</v>
      </c>
      <c r="AD10">
        <f>IF(Attempts[[#This Row],[final_result]]="logged in",1,0)</f>
        <v>0</v>
      </c>
      <c r="AE10">
        <f>IF(Attempts[[#This Row],[is_impostor]]=0,1,0)</f>
        <v>0</v>
      </c>
      <c r="AF10">
        <f>IF(Attempts[[#This Row],[is_impostor]]=1,1,0)</f>
        <v>1</v>
      </c>
      <c r="AG10">
        <f>IF(AND(Attempts[[#This Row],[keystroke_pass]]=1,Attempts[[#This Row],[graphical_pass]]=1,Attempts[[#This Row],[mouse_pass]]=1),1,0)</f>
        <v>0</v>
      </c>
      <c r="AH10">
        <f>IF(AND(Attempts[[#This Row],[keystroke_pass]]=1, OR(Attempts[[#This Row],[graphical_pass]]=1, Attempts[[#This Row],[mouse_pass]]=1)), 1, 0)</f>
        <v>0</v>
      </c>
      <c r="AI10" t="str">
        <f>IF(Attempts[[#This Row],[final_result]]="logged in",Attempts[[#This Row],[login_attempt_number]],"")</f>
        <v/>
      </c>
      <c r="AJ10">
        <f>IF(AND(Attempts[[#This Row],[is_impostor]]=0,Attempts[[#This Row],[final_result]]="logged in"),1,0)</f>
        <v>0</v>
      </c>
      <c r="AK10">
        <f>IF(AND(Attempts[[#This Row],[is_impostor]]=0,Attempts[[#This Row],[final_result]]="logged in",Attempts[[#This Row],[tries_to_success]]&gt;1),1,0)</f>
        <v>0</v>
      </c>
      <c r="AL10">
        <f>IF(Attempts[[#This Row],[prompt_match]]=0,1,0)</f>
        <v>0</v>
      </c>
    </row>
    <row r="11" spans="1:38">
      <c r="A11">
        <f t="shared" si="1"/>
        <v>10</v>
      </c>
      <c r="B11" t="s">
        <v>150</v>
      </c>
      <c r="C11">
        <v>1</v>
      </c>
      <c r="D11" t="s">
        <v>28</v>
      </c>
      <c r="E11" t="s">
        <v>28</v>
      </c>
      <c r="F11" t="s">
        <v>28</v>
      </c>
      <c r="G11" t="s">
        <v>28</v>
      </c>
      <c r="H11">
        <v>27.111000000000001</v>
      </c>
      <c r="I11">
        <v>15.082000000000001</v>
      </c>
      <c r="J11">
        <f t="shared" si="0"/>
        <v>7.3339999999999996</v>
      </c>
      <c r="K11">
        <v>4.6950000000000003</v>
      </c>
      <c r="L11">
        <v>1</v>
      </c>
      <c r="M11">
        <v>0</v>
      </c>
      <c r="N11">
        <v>1</v>
      </c>
      <c r="Q11">
        <v>1.264</v>
      </c>
      <c r="R11">
        <v>1.5469999999999999</v>
      </c>
      <c r="S11">
        <v>0.442</v>
      </c>
      <c r="T11">
        <v>1.1879999999999999</v>
      </c>
      <c r="U11">
        <v>2.5059999999999998</v>
      </c>
      <c r="V11">
        <v>0.45700000000000002</v>
      </c>
      <c r="AA11">
        <f>IF(Attempts[[#This Row],[keystroke_result]]="logged in",1,0)</f>
        <v>0</v>
      </c>
      <c r="AB11">
        <f>IF(Attempts[[#This Row],[graphical_result]]="logged in",1,0)</f>
        <v>0</v>
      </c>
      <c r="AC11">
        <f>IF(Attempts[[#This Row],[mouse_result]]="logged in",1,0)</f>
        <v>0</v>
      </c>
      <c r="AD11">
        <f>IF(Attempts[[#This Row],[final_result]]="logged in",1,0)</f>
        <v>0</v>
      </c>
      <c r="AE11">
        <f>IF(Attempts[[#This Row],[is_impostor]]=0,1,0)</f>
        <v>0</v>
      </c>
      <c r="AF11">
        <f>IF(Attempts[[#This Row],[is_impostor]]=1,1,0)</f>
        <v>1</v>
      </c>
      <c r="AG11">
        <f>IF(AND(Attempts[[#This Row],[keystroke_pass]]=1,Attempts[[#This Row],[graphical_pass]]=1,Attempts[[#This Row],[mouse_pass]]=1),1,0)</f>
        <v>0</v>
      </c>
      <c r="AH11">
        <f>IF(AND(Attempts[[#This Row],[keystroke_pass]]=1, OR(Attempts[[#This Row],[graphical_pass]]=1, Attempts[[#This Row],[mouse_pass]]=1)), 1, 0)</f>
        <v>0</v>
      </c>
      <c r="AI11" t="str">
        <f>IF(Attempts[[#This Row],[final_result]]="logged in",Attempts[[#This Row],[login_attempt_number]],"")</f>
        <v/>
      </c>
      <c r="AJ11">
        <f>IF(AND(Attempts[[#This Row],[is_impostor]]=0,Attempts[[#This Row],[final_result]]="logged in"),1,0)</f>
        <v>0</v>
      </c>
      <c r="AK11">
        <f>IF(AND(Attempts[[#This Row],[is_impostor]]=0,Attempts[[#This Row],[final_result]]="logged in",Attempts[[#This Row],[tries_to_success]]&gt;1),1,0)</f>
        <v>0</v>
      </c>
      <c r="AL11">
        <f>IF(Attempts[[#This Row],[prompt_match]]=0,1,0)</f>
        <v>0</v>
      </c>
    </row>
    <row r="12" spans="1:38">
      <c r="A12">
        <f>A11+1</f>
        <v>11</v>
      </c>
      <c r="B12" t="s">
        <v>26</v>
      </c>
      <c r="C12">
        <v>1</v>
      </c>
      <c r="D12" t="s">
        <v>28</v>
      </c>
      <c r="E12" t="s">
        <v>28</v>
      </c>
      <c r="F12" t="s">
        <v>28</v>
      </c>
      <c r="G12" t="s">
        <v>28</v>
      </c>
      <c r="H12">
        <v>27.754999999999999</v>
      </c>
      <c r="I12">
        <v>16.495000000000001</v>
      </c>
      <c r="J12">
        <f t="shared" si="0"/>
        <v>7.2109999999999985</v>
      </c>
      <c r="K12">
        <v>4.0490000000000004</v>
      </c>
      <c r="L12">
        <v>3</v>
      </c>
      <c r="M12">
        <v>0</v>
      </c>
      <c r="N12">
        <v>1</v>
      </c>
      <c r="Q12">
        <v>1.3819999999999999</v>
      </c>
      <c r="R12">
        <v>3.0489999999999999</v>
      </c>
      <c r="S12">
        <v>0.38100000000000001</v>
      </c>
      <c r="T12">
        <v>3.2879999999999998</v>
      </c>
      <c r="U12">
        <v>7.0359999999999996</v>
      </c>
      <c r="V12">
        <v>0.23300000000000001</v>
      </c>
      <c r="AA12">
        <f>IF(Attempts[[#This Row],[keystroke_result]]="logged in",1,0)</f>
        <v>0</v>
      </c>
      <c r="AB12">
        <f>IF(Attempts[[#This Row],[graphical_result]]="logged in",1,0)</f>
        <v>0</v>
      </c>
      <c r="AC12">
        <f>IF(Attempts[[#This Row],[mouse_result]]="logged in",1,0)</f>
        <v>0</v>
      </c>
      <c r="AD12">
        <f>IF(Attempts[[#This Row],[final_result]]="logged in",1,0)</f>
        <v>0</v>
      </c>
      <c r="AE12">
        <f>IF(Attempts[[#This Row],[is_impostor]]=0,1,0)</f>
        <v>0</v>
      </c>
      <c r="AF12">
        <f>IF(Attempts[[#This Row],[is_impostor]]=1,1,0)</f>
        <v>1</v>
      </c>
      <c r="AG12">
        <f>IF(AND(Attempts[[#This Row],[keystroke_pass]]=1,Attempts[[#This Row],[graphical_pass]]=1,Attempts[[#This Row],[mouse_pass]]=1),1,0)</f>
        <v>0</v>
      </c>
      <c r="AH12">
        <f>IF(AND(Attempts[[#This Row],[keystroke_pass]]=1, OR(Attempts[[#This Row],[graphical_pass]]=1, Attempts[[#This Row],[mouse_pass]]=1)), 1, 0)</f>
        <v>0</v>
      </c>
      <c r="AI12" t="str">
        <f>IF(Attempts[[#This Row],[final_result]]="logged in",Attempts[[#This Row],[login_attempt_number]],"")</f>
        <v/>
      </c>
      <c r="AJ12">
        <f>IF(AND(Attempts[[#This Row],[is_impostor]]=0,Attempts[[#This Row],[final_result]]="logged in"),1,0)</f>
        <v>0</v>
      </c>
      <c r="AK12">
        <f>IF(AND(Attempts[[#This Row],[is_impostor]]=0,Attempts[[#This Row],[final_result]]="logged in",Attempts[[#This Row],[tries_to_success]]&gt;1),1,0)</f>
        <v>0</v>
      </c>
      <c r="AL12">
        <f>IF(Attempts[[#This Row],[prompt_match]]=0,1,0)</f>
        <v>0</v>
      </c>
    </row>
    <row r="13" spans="1:38">
      <c r="A13">
        <f t="shared" si="1"/>
        <v>12</v>
      </c>
      <c r="B13" t="s">
        <v>26</v>
      </c>
      <c r="C13">
        <v>1</v>
      </c>
      <c r="D13" t="s">
        <v>28</v>
      </c>
      <c r="E13" t="s">
        <v>28</v>
      </c>
      <c r="F13" t="s">
        <v>28</v>
      </c>
      <c r="G13" t="s">
        <v>28</v>
      </c>
      <c r="H13">
        <v>26.655000000000001</v>
      </c>
      <c r="I13">
        <v>11.781000000000001</v>
      </c>
      <c r="J13">
        <f t="shared" si="0"/>
        <v>10.46</v>
      </c>
      <c r="K13">
        <v>4.4139999999999997</v>
      </c>
      <c r="L13">
        <v>2</v>
      </c>
      <c r="M13">
        <v>0</v>
      </c>
      <c r="N13">
        <v>1</v>
      </c>
      <c r="Q13">
        <v>1.089</v>
      </c>
      <c r="R13">
        <v>1.2170000000000001</v>
      </c>
      <c r="S13">
        <v>0.496</v>
      </c>
      <c r="T13">
        <v>4.3259999999999996</v>
      </c>
      <c r="U13">
        <v>7.78</v>
      </c>
      <c r="V13">
        <v>0.12</v>
      </c>
      <c r="AA13">
        <f>IF(Attempts[[#This Row],[keystroke_result]]="logged in",1,0)</f>
        <v>0</v>
      </c>
      <c r="AB13">
        <f>IF(Attempts[[#This Row],[graphical_result]]="logged in",1,0)</f>
        <v>0</v>
      </c>
      <c r="AC13">
        <f>IF(Attempts[[#This Row],[mouse_result]]="logged in",1,0)</f>
        <v>0</v>
      </c>
      <c r="AD13">
        <f>IF(Attempts[[#This Row],[final_result]]="logged in",1,0)</f>
        <v>0</v>
      </c>
      <c r="AE13">
        <f>IF(Attempts[[#This Row],[is_impostor]]=0,1,0)</f>
        <v>0</v>
      </c>
      <c r="AF13">
        <f>IF(Attempts[[#This Row],[is_impostor]]=1,1,0)</f>
        <v>1</v>
      </c>
      <c r="AG13">
        <f>IF(AND(Attempts[[#This Row],[keystroke_pass]]=1,Attempts[[#This Row],[graphical_pass]]=1,Attempts[[#This Row],[mouse_pass]]=1),1,0)</f>
        <v>0</v>
      </c>
      <c r="AH13">
        <f>IF(AND(Attempts[[#This Row],[keystroke_pass]]=1, OR(Attempts[[#This Row],[graphical_pass]]=1, Attempts[[#This Row],[mouse_pass]]=1)), 1, 0)</f>
        <v>0</v>
      </c>
      <c r="AI13" t="str">
        <f>IF(Attempts[[#This Row],[final_result]]="logged in",Attempts[[#This Row],[login_attempt_number]],"")</f>
        <v/>
      </c>
      <c r="AJ13">
        <f>IF(AND(Attempts[[#This Row],[is_impostor]]=0,Attempts[[#This Row],[final_result]]="logged in"),1,0)</f>
        <v>0</v>
      </c>
      <c r="AK13">
        <f>IF(AND(Attempts[[#This Row],[is_impostor]]=0,Attempts[[#This Row],[final_result]]="logged in",Attempts[[#This Row],[tries_to_success]]&gt;1),1,0)</f>
        <v>0</v>
      </c>
      <c r="AL13">
        <f>IF(Attempts[[#This Row],[prompt_match]]=0,1,0)</f>
        <v>0</v>
      </c>
    </row>
    <row r="14" spans="1:38">
      <c r="A14">
        <f t="shared" si="1"/>
        <v>13</v>
      </c>
      <c r="B14" t="s">
        <v>26</v>
      </c>
      <c r="C14">
        <v>1</v>
      </c>
      <c r="D14" t="s">
        <v>28</v>
      </c>
      <c r="E14" t="s">
        <v>28</v>
      </c>
      <c r="F14" t="s">
        <v>28</v>
      </c>
      <c r="G14" t="s">
        <v>28</v>
      </c>
      <c r="H14">
        <v>45.673000000000002</v>
      </c>
      <c r="I14">
        <v>28.931000000000001</v>
      </c>
      <c r="J14">
        <f t="shared" si="0"/>
        <v>3.1439999999999984</v>
      </c>
      <c r="K14">
        <v>13.598000000000001</v>
      </c>
      <c r="L14">
        <v>1</v>
      </c>
      <c r="M14">
        <v>0</v>
      </c>
      <c r="N14">
        <v>1</v>
      </c>
      <c r="Q14">
        <v>2.89</v>
      </c>
      <c r="R14">
        <v>3.3740000000000001</v>
      </c>
      <c r="S14">
        <v>0.183</v>
      </c>
      <c r="T14">
        <v>1.3080000000000001</v>
      </c>
      <c r="U14">
        <v>1.716</v>
      </c>
      <c r="V14">
        <v>0.433</v>
      </c>
      <c r="AA14">
        <f>IF(Attempts[[#This Row],[keystroke_result]]="logged in",1,0)</f>
        <v>0</v>
      </c>
      <c r="AB14">
        <f>IF(Attempts[[#This Row],[graphical_result]]="logged in",1,0)</f>
        <v>0</v>
      </c>
      <c r="AC14">
        <f>IF(Attempts[[#This Row],[mouse_result]]="logged in",1,0)</f>
        <v>0</v>
      </c>
      <c r="AD14">
        <f>IF(Attempts[[#This Row],[final_result]]="logged in",1,0)</f>
        <v>0</v>
      </c>
      <c r="AE14">
        <f>IF(Attempts[[#This Row],[is_impostor]]=0,1,0)</f>
        <v>0</v>
      </c>
      <c r="AF14">
        <f>IF(Attempts[[#This Row],[is_impostor]]=1,1,0)</f>
        <v>1</v>
      </c>
      <c r="AG14">
        <f>IF(AND(Attempts[[#This Row],[keystroke_pass]]=1,Attempts[[#This Row],[graphical_pass]]=1,Attempts[[#This Row],[mouse_pass]]=1),1,0)</f>
        <v>0</v>
      </c>
      <c r="AH14">
        <f>IF(AND(Attempts[[#This Row],[keystroke_pass]]=1, OR(Attempts[[#This Row],[graphical_pass]]=1, Attempts[[#This Row],[mouse_pass]]=1)), 1, 0)</f>
        <v>0</v>
      </c>
      <c r="AI14" t="str">
        <f>IF(Attempts[[#This Row],[final_result]]="logged in",Attempts[[#This Row],[login_attempt_number]],"")</f>
        <v/>
      </c>
      <c r="AJ14">
        <f>IF(AND(Attempts[[#This Row],[is_impostor]]=0,Attempts[[#This Row],[final_result]]="logged in"),1,0)</f>
        <v>0</v>
      </c>
      <c r="AK14">
        <f>IF(AND(Attempts[[#This Row],[is_impostor]]=0,Attempts[[#This Row],[final_result]]="logged in",Attempts[[#This Row],[tries_to_success]]&gt;1),1,0)</f>
        <v>0</v>
      </c>
      <c r="AL14">
        <f>IF(Attempts[[#This Row],[prompt_match]]=0,1,0)</f>
        <v>0</v>
      </c>
    </row>
    <row r="15" spans="1:38">
      <c r="A15">
        <f t="shared" si="1"/>
        <v>14</v>
      </c>
      <c r="B15" t="s">
        <v>26</v>
      </c>
      <c r="C15">
        <v>1</v>
      </c>
      <c r="D15" t="s">
        <v>27</v>
      </c>
      <c r="E15" t="s">
        <v>28</v>
      </c>
      <c r="F15" t="s">
        <v>28</v>
      </c>
      <c r="G15" t="s">
        <v>28</v>
      </c>
      <c r="H15">
        <v>22.524000000000001</v>
      </c>
      <c r="I15">
        <v>13.853999999999999</v>
      </c>
      <c r="J15">
        <f t="shared" si="0"/>
        <v>5.9720000000000013</v>
      </c>
      <c r="K15">
        <v>2.698</v>
      </c>
      <c r="L15">
        <v>1</v>
      </c>
      <c r="M15">
        <v>0</v>
      </c>
      <c r="N15">
        <v>1</v>
      </c>
      <c r="Q15">
        <v>0.16700000000000001</v>
      </c>
      <c r="R15">
        <v>0.377</v>
      </c>
      <c r="S15">
        <v>0.85699999999999998</v>
      </c>
      <c r="T15">
        <v>1.9950000000000001</v>
      </c>
      <c r="U15">
        <v>3.7759999999999998</v>
      </c>
      <c r="V15">
        <v>0.33400000000000002</v>
      </c>
      <c r="AA15">
        <f>IF(Attempts[[#This Row],[keystroke_result]]="logged in",1,0)</f>
        <v>1</v>
      </c>
      <c r="AB15">
        <f>IF(Attempts[[#This Row],[graphical_result]]="logged in",1,0)</f>
        <v>0</v>
      </c>
      <c r="AC15">
        <f>IF(Attempts[[#This Row],[mouse_result]]="logged in",1,0)</f>
        <v>0</v>
      </c>
      <c r="AD15">
        <f>IF(Attempts[[#This Row],[final_result]]="logged in",1,0)</f>
        <v>0</v>
      </c>
      <c r="AE15">
        <f>IF(Attempts[[#This Row],[is_impostor]]=0,1,0)</f>
        <v>0</v>
      </c>
      <c r="AF15">
        <f>IF(Attempts[[#This Row],[is_impostor]]=1,1,0)</f>
        <v>1</v>
      </c>
      <c r="AG15">
        <f>IF(AND(Attempts[[#This Row],[keystroke_pass]]=1,Attempts[[#This Row],[graphical_pass]]=1,Attempts[[#This Row],[mouse_pass]]=1),1,0)</f>
        <v>0</v>
      </c>
      <c r="AH15">
        <f>IF(AND(Attempts[[#This Row],[keystroke_pass]]=1, OR(Attempts[[#This Row],[graphical_pass]]=1, Attempts[[#This Row],[mouse_pass]]=1)), 1, 0)</f>
        <v>0</v>
      </c>
      <c r="AI15" t="str">
        <f>IF(Attempts[[#This Row],[final_result]]="logged in",Attempts[[#This Row],[login_attempt_number]],"")</f>
        <v/>
      </c>
      <c r="AJ15">
        <f>IF(AND(Attempts[[#This Row],[is_impostor]]=0,Attempts[[#This Row],[final_result]]="logged in"),1,0)</f>
        <v>0</v>
      </c>
      <c r="AK15">
        <f>IF(AND(Attempts[[#This Row],[is_impostor]]=0,Attempts[[#This Row],[final_result]]="logged in",Attempts[[#This Row],[tries_to_success]]&gt;1),1,0)</f>
        <v>0</v>
      </c>
      <c r="AL15">
        <f>IF(Attempts[[#This Row],[prompt_match]]=0,1,0)</f>
        <v>0</v>
      </c>
    </row>
    <row r="16" spans="1:38">
      <c r="A16">
        <f t="shared" si="1"/>
        <v>15</v>
      </c>
      <c r="B16" t="s">
        <v>26</v>
      </c>
      <c r="C16">
        <v>1</v>
      </c>
      <c r="D16" t="s">
        <v>28</v>
      </c>
      <c r="E16" t="s">
        <v>27</v>
      </c>
      <c r="F16" t="s">
        <v>28</v>
      </c>
      <c r="G16" t="s">
        <v>28</v>
      </c>
      <c r="H16">
        <v>25.149000000000001</v>
      </c>
      <c r="I16">
        <v>13.138999999999999</v>
      </c>
      <c r="J16">
        <f t="shared" si="0"/>
        <v>9.5180000000000007</v>
      </c>
      <c r="K16">
        <v>2.492</v>
      </c>
      <c r="L16">
        <v>3</v>
      </c>
      <c r="M16">
        <v>0</v>
      </c>
      <c r="N16">
        <v>1</v>
      </c>
      <c r="O16" t="s">
        <v>29</v>
      </c>
      <c r="P16" t="s">
        <v>31</v>
      </c>
      <c r="Q16">
        <v>1.1299999999999999</v>
      </c>
      <c r="R16">
        <v>1.294</v>
      </c>
      <c r="S16">
        <v>0.46899999999999997</v>
      </c>
      <c r="T16">
        <v>1.17</v>
      </c>
      <c r="U16">
        <v>2.3130000000000002</v>
      </c>
      <c r="V16">
        <v>0.46100000000000002</v>
      </c>
      <c r="AA16">
        <f>IF(Attempts[[#This Row],[keystroke_result]]="logged in",1,0)</f>
        <v>0</v>
      </c>
      <c r="AB16">
        <f>IF(Attempts[[#This Row],[graphical_result]]="logged in",1,0)</f>
        <v>1</v>
      </c>
      <c r="AC16">
        <f>IF(Attempts[[#This Row],[mouse_result]]="logged in",1,0)</f>
        <v>0</v>
      </c>
      <c r="AD16">
        <f>IF(Attempts[[#This Row],[final_result]]="logged in",1,0)</f>
        <v>0</v>
      </c>
      <c r="AE16">
        <f>IF(Attempts[[#This Row],[is_impostor]]=0,1,0)</f>
        <v>0</v>
      </c>
      <c r="AF16">
        <f>IF(Attempts[[#This Row],[is_impostor]]=1,1,0)</f>
        <v>1</v>
      </c>
      <c r="AG16">
        <f>IF(AND(Attempts[[#This Row],[keystroke_pass]]=1,Attempts[[#This Row],[graphical_pass]]=1,Attempts[[#This Row],[mouse_pass]]=1),1,0)</f>
        <v>0</v>
      </c>
      <c r="AH16">
        <f>IF(AND(Attempts[[#This Row],[keystroke_pass]]=1, OR(Attempts[[#This Row],[graphical_pass]]=1, Attempts[[#This Row],[mouse_pass]]=1)), 1, 0)</f>
        <v>0</v>
      </c>
      <c r="AI16" t="str">
        <f>IF(Attempts[[#This Row],[final_result]]="logged in",Attempts[[#This Row],[login_attempt_number]],"")</f>
        <v/>
      </c>
      <c r="AJ16">
        <f>IF(AND(Attempts[[#This Row],[is_impostor]]=0,Attempts[[#This Row],[final_result]]="logged in"),1,0)</f>
        <v>0</v>
      </c>
      <c r="AK16">
        <f>IF(AND(Attempts[[#This Row],[is_impostor]]=0,Attempts[[#This Row],[final_result]]="logged in",Attempts[[#This Row],[tries_to_success]]&gt;1),1,0)</f>
        <v>0</v>
      </c>
      <c r="AL16">
        <f>IF(Attempts[[#This Row],[prompt_match]]=0,1,0)</f>
        <v>0</v>
      </c>
    </row>
    <row r="17" spans="1:38">
      <c r="A17">
        <f t="shared" si="1"/>
        <v>16</v>
      </c>
      <c r="B17" t="s">
        <v>26</v>
      </c>
      <c r="C17">
        <v>1</v>
      </c>
      <c r="D17" t="s">
        <v>28</v>
      </c>
      <c r="E17" t="s">
        <v>28</v>
      </c>
      <c r="F17" t="s">
        <v>28</v>
      </c>
      <c r="G17" t="s">
        <v>28</v>
      </c>
      <c r="H17">
        <v>18.163</v>
      </c>
      <c r="I17">
        <v>11.718999999999999</v>
      </c>
      <c r="J17">
        <f t="shared" si="0"/>
        <v>3.8020000000000014</v>
      </c>
      <c r="K17">
        <v>2.6419999999999999</v>
      </c>
      <c r="L17">
        <v>2</v>
      </c>
      <c r="M17">
        <v>0</v>
      </c>
      <c r="N17">
        <v>1</v>
      </c>
      <c r="Q17">
        <v>1.0680000000000001</v>
      </c>
      <c r="R17">
        <v>1.212</v>
      </c>
      <c r="S17">
        <v>0.48399999999999999</v>
      </c>
      <c r="T17">
        <v>1.3080000000000001</v>
      </c>
      <c r="U17">
        <v>1.716</v>
      </c>
      <c r="V17">
        <v>0.433</v>
      </c>
      <c r="AA17">
        <f>IF(Attempts[[#This Row],[keystroke_result]]="logged in",1,0)</f>
        <v>0</v>
      </c>
      <c r="AB17">
        <f>IF(Attempts[[#This Row],[graphical_result]]="logged in",1,0)</f>
        <v>0</v>
      </c>
      <c r="AC17">
        <f>IF(Attempts[[#This Row],[mouse_result]]="logged in",1,0)</f>
        <v>0</v>
      </c>
      <c r="AD17">
        <f>IF(Attempts[[#This Row],[final_result]]="logged in",1,0)</f>
        <v>0</v>
      </c>
      <c r="AE17">
        <f>IF(Attempts[[#This Row],[is_impostor]]=0,1,0)</f>
        <v>0</v>
      </c>
      <c r="AF17">
        <f>IF(Attempts[[#This Row],[is_impostor]]=1,1,0)</f>
        <v>1</v>
      </c>
      <c r="AG17">
        <f>IF(AND(Attempts[[#This Row],[keystroke_pass]]=1,Attempts[[#This Row],[graphical_pass]]=1,Attempts[[#This Row],[mouse_pass]]=1),1,0)</f>
        <v>0</v>
      </c>
      <c r="AH17">
        <f>IF(AND(Attempts[[#This Row],[keystroke_pass]]=1, OR(Attempts[[#This Row],[graphical_pass]]=1, Attempts[[#This Row],[mouse_pass]]=1)), 1, 0)</f>
        <v>0</v>
      </c>
      <c r="AI17" t="str">
        <f>IF(Attempts[[#This Row],[final_result]]="logged in",Attempts[[#This Row],[login_attempt_number]],"")</f>
        <v/>
      </c>
      <c r="AJ17">
        <f>IF(AND(Attempts[[#This Row],[is_impostor]]=0,Attempts[[#This Row],[final_result]]="logged in"),1,0)</f>
        <v>0</v>
      </c>
      <c r="AK17">
        <f>IF(AND(Attempts[[#This Row],[is_impostor]]=0,Attempts[[#This Row],[final_result]]="logged in",Attempts[[#This Row],[tries_to_success]]&gt;1),1,0)</f>
        <v>0</v>
      </c>
      <c r="AL17">
        <f>IF(Attempts[[#This Row],[prompt_match]]=0,1,0)</f>
        <v>0</v>
      </c>
    </row>
    <row r="18" spans="1:38">
      <c r="A18">
        <f t="shared" si="1"/>
        <v>17</v>
      </c>
      <c r="B18" t="s">
        <v>26</v>
      </c>
      <c r="C18">
        <v>1</v>
      </c>
      <c r="D18" t="s">
        <v>28</v>
      </c>
      <c r="E18" t="s">
        <v>28</v>
      </c>
      <c r="F18" t="s">
        <v>28</v>
      </c>
      <c r="G18" t="s">
        <v>28</v>
      </c>
      <c r="H18">
        <v>26.361999999999998</v>
      </c>
      <c r="I18">
        <v>14.358000000000001</v>
      </c>
      <c r="J18">
        <f t="shared" si="0"/>
        <v>7.6009999999999991</v>
      </c>
      <c r="K18">
        <v>4.4029999999999996</v>
      </c>
      <c r="L18">
        <v>1</v>
      </c>
      <c r="M18">
        <v>0</v>
      </c>
      <c r="N18">
        <v>1</v>
      </c>
      <c r="Q18">
        <v>0.96499999999999997</v>
      </c>
      <c r="R18">
        <v>1.262</v>
      </c>
      <c r="S18">
        <v>0.50900000000000001</v>
      </c>
      <c r="T18">
        <v>3.3879999999999999</v>
      </c>
      <c r="U18">
        <v>6.1609999999999996</v>
      </c>
      <c r="V18">
        <v>0.22800000000000001</v>
      </c>
      <c r="AA18">
        <f>IF(Attempts[[#This Row],[keystroke_result]]="logged in",1,0)</f>
        <v>0</v>
      </c>
      <c r="AB18">
        <f>IF(Attempts[[#This Row],[graphical_result]]="logged in",1,0)</f>
        <v>0</v>
      </c>
      <c r="AC18">
        <f>IF(Attempts[[#This Row],[mouse_result]]="logged in",1,0)</f>
        <v>0</v>
      </c>
      <c r="AD18">
        <f>IF(Attempts[[#This Row],[final_result]]="logged in",1,0)</f>
        <v>0</v>
      </c>
      <c r="AE18">
        <f>IF(Attempts[[#This Row],[is_impostor]]=0,1,0)</f>
        <v>0</v>
      </c>
      <c r="AF18">
        <f>IF(Attempts[[#This Row],[is_impostor]]=1,1,0)</f>
        <v>1</v>
      </c>
      <c r="AG18">
        <f>IF(AND(Attempts[[#This Row],[keystroke_pass]]=1,Attempts[[#This Row],[graphical_pass]]=1,Attempts[[#This Row],[mouse_pass]]=1),1,0)</f>
        <v>0</v>
      </c>
      <c r="AH18">
        <f>IF(AND(Attempts[[#This Row],[keystroke_pass]]=1, OR(Attempts[[#This Row],[graphical_pass]]=1, Attempts[[#This Row],[mouse_pass]]=1)), 1, 0)</f>
        <v>0</v>
      </c>
      <c r="AI18" t="str">
        <f>IF(Attempts[[#This Row],[final_result]]="logged in",Attempts[[#This Row],[login_attempt_number]],"")</f>
        <v/>
      </c>
      <c r="AJ18">
        <f>IF(AND(Attempts[[#This Row],[is_impostor]]=0,Attempts[[#This Row],[final_result]]="logged in"),1,0)</f>
        <v>0</v>
      </c>
      <c r="AK18">
        <f>IF(AND(Attempts[[#This Row],[is_impostor]]=0,Attempts[[#This Row],[final_result]]="logged in",Attempts[[#This Row],[tries_to_success]]&gt;1),1,0)</f>
        <v>0</v>
      </c>
      <c r="AL18">
        <f>IF(Attempts[[#This Row],[prompt_match]]=0,1,0)</f>
        <v>0</v>
      </c>
    </row>
    <row r="19" spans="1:38">
      <c r="A19">
        <f t="shared" si="1"/>
        <v>18</v>
      </c>
      <c r="B19" t="s">
        <v>26</v>
      </c>
      <c r="C19">
        <v>1</v>
      </c>
      <c r="D19" t="s">
        <v>28</v>
      </c>
      <c r="E19" t="s">
        <v>28</v>
      </c>
      <c r="F19" t="s">
        <v>28</v>
      </c>
      <c r="G19" t="s">
        <v>28</v>
      </c>
      <c r="H19">
        <v>29.763000000000002</v>
      </c>
      <c r="I19">
        <v>16.495000000000001</v>
      </c>
      <c r="J19">
        <f t="shared" si="0"/>
        <v>9.2190000000000012</v>
      </c>
      <c r="K19">
        <v>4.0490000000000004</v>
      </c>
      <c r="L19">
        <v>3</v>
      </c>
      <c r="M19">
        <v>0</v>
      </c>
      <c r="N19">
        <v>1</v>
      </c>
      <c r="Q19">
        <v>1.6220000000000001</v>
      </c>
      <c r="R19">
        <v>2.0489999999999999</v>
      </c>
      <c r="S19">
        <v>0.38100000000000001</v>
      </c>
      <c r="T19">
        <v>3.2879999999999998</v>
      </c>
      <c r="U19">
        <v>7.0359999999999996</v>
      </c>
      <c r="V19">
        <v>0.23300000000000001</v>
      </c>
      <c r="AA19">
        <f>IF(Attempts[[#This Row],[keystroke_result]]="logged in",1,0)</f>
        <v>0</v>
      </c>
      <c r="AB19">
        <f>IF(Attempts[[#This Row],[graphical_result]]="logged in",1,0)</f>
        <v>0</v>
      </c>
      <c r="AC19">
        <f>IF(Attempts[[#This Row],[mouse_result]]="logged in",1,0)</f>
        <v>0</v>
      </c>
      <c r="AD19">
        <f>IF(Attempts[[#This Row],[final_result]]="logged in",1,0)</f>
        <v>0</v>
      </c>
      <c r="AE19">
        <f>IF(Attempts[[#This Row],[is_impostor]]=0,1,0)</f>
        <v>0</v>
      </c>
      <c r="AF19">
        <f>IF(Attempts[[#This Row],[is_impostor]]=1,1,0)</f>
        <v>1</v>
      </c>
      <c r="AG19">
        <f>IF(AND(Attempts[[#This Row],[keystroke_pass]]=1,Attempts[[#This Row],[graphical_pass]]=1,Attempts[[#This Row],[mouse_pass]]=1),1,0)</f>
        <v>0</v>
      </c>
      <c r="AH19">
        <f>IF(AND(Attempts[[#This Row],[keystroke_pass]]=1, OR(Attempts[[#This Row],[graphical_pass]]=1, Attempts[[#This Row],[mouse_pass]]=1)), 1, 0)</f>
        <v>0</v>
      </c>
      <c r="AI19" t="str">
        <f>IF(Attempts[[#This Row],[final_result]]="logged in",Attempts[[#This Row],[login_attempt_number]],"")</f>
        <v/>
      </c>
      <c r="AJ19">
        <f>IF(AND(Attempts[[#This Row],[is_impostor]]=0,Attempts[[#This Row],[final_result]]="logged in"),1,0)</f>
        <v>0</v>
      </c>
      <c r="AK19">
        <f>IF(AND(Attempts[[#This Row],[is_impostor]]=0,Attempts[[#This Row],[final_result]]="logged in",Attempts[[#This Row],[tries_to_success]]&gt;1),1,0)</f>
        <v>0</v>
      </c>
      <c r="AL19">
        <f>IF(Attempts[[#This Row],[prompt_match]]=0,1,0)</f>
        <v>0</v>
      </c>
    </row>
    <row r="20" spans="1:38">
      <c r="A20">
        <f t="shared" si="1"/>
        <v>19</v>
      </c>
      <c r="B20" t="s">
        <v>26</v>
      </c>
      <c r="C20">
        <v>1</v>
      </c>
      <c r="D20" t="s">
        <v>28</v>
      </c>
      <c r="E20" t="s">
        <v>28</v>
      </c>
      <c r="F20" t="s">
        <v>28</v>
      </c>
      <c r="G20" t="s">
        <v>28</v>
      </c>
      <c r="H20">
        <v>26.722000000000001</v>
      </c>
      <c r="I20">
        <v>11.781000000000001</v>
      </c>
      <c r="J20">
        <f t="shared" si="0"/>
        <v>10.527000000000001</v>
      </c>
      <c r="K20">
        <v>4.4139999999999997</v>
      </c>
      <c r="L20">
        <v>2</v>
      </c>
      <c r="M20">
        <v>0</v>
      </c>
      <c r="N20">
        <v>1</v>
      </c>
      <c r="Q20">
        <v>1.016</v>
      </c>
      <c r="R20">
        <v>1.5169999999999999</v>
      </c>
      <c r="S20">
        <v>0.496</v>
      </c>
      <c r="T20">
        <v>4.6360000000000001</v>
      </c>
      <c r="U20">
        <v>8.173</v>
      </c>
      <c r="V20">
        <v>0.17699999999999999</v>
      </c>
      <c r="AA20">
        <f>IF(Attempts[[#This Row],[keystroke_result]]="logged in",1,0)</f>
        <v>0</v>
      </c>
      <c r="AB20">
        <f>IF(Attempts[[#This Row],[graphical_result]]="logged in",1,0)</f>
        <v>0</v>
      </c>
      <c r="AC20">
        <f>IF(Attempts[[#This Row],[mouse_result]]="logged in",1,0)</f>
        <v>0</v>
      </c>
      <c r="AD20">
        <f>IF(Attempts[[#This Row],[final_result]]="logged in",1,0)</f>
        <v>0</v>
      </c>
      <c r="AE20">
        <f>IF(Attempts[[#This Row],[is_impostor]]=0,1,0)</f>
        <v>0</v>
      </c>
      <c r="AF20">
        <f>IF(Attempts[[#This Row],[is_impostor]]=1,1,0)</f>
        <v>1</v>
      </c>
      <c r="AG20">
        <f>IF(AND(Attempts[[#This Row],[keystroke_pass]]=1,Attempts[[#This Row],[graphical_pass]]=1,Attempts[[#This Row],[mouse_pass]]=1),1,0)</f>
        <v>0</v>
      </c>
      <c r="AH20">
        <f>IF(AND(Attempts[[#This Row],[keystroke_pass]]=1, OR(Attempts[[#This Row],[graphical_pass]]=1, Attempts[[#This Row],[mouse_pass]]=1)), 1, 0)</f>
        <v>0</v>
      </c>
      <c r="AI20" t="str">
        <f>IF(Attempts[[#This Row],[final_result]]="logged in",Attempts[[#This Row],[login_attempt_number]],"")</f>
        <v/>
      </c>
      <c r="AJ20">
        <f>IF(AND(Attempts[[#This Row],[is_impostor]]=0,Attempts[[#This Row],[final_result]]="logged in"),1,0)</f>
        <v>0</v>
      </c>
      <c r="AK20">
        <f>IF(AND(Attempts[[#This Row],[is_impostor]]=0,Attempts[[#This Row],[final_result]]="logged in",Attempts[[#This Row],[tries_to_success]]&gt;1),1,0)</f>
        <v>0</v>
      </c>
      <c r="AL20">
        <f>IF(Attempts[[#This Row],[prompt_match]]=0,1,0)</f>
        <v>0</v>
      </c>
    </row>
    <row r="21" spans="1:38">
      <c r="A21">
        <f t="shared" si="1"/>
        <v>20</v>
      </c>
      <c r="B21" t="s">
        <v>26</v>
      </c>
      <c r="C21">
        <v>1</v>
      </c>
      <c r="D21" t="s">
        <v>28</v>
      </c>
      <c r="E21" t="s">
        <v>28</v>
      </c>
      <c r="F21" t="s">
        <v>28</v>
      </c>
      <c r="G21" t="s">
        <v>28</v>
      </c>
      <c r="H21">
        <v>62.673000000000002</v>
      </c>
      <c r="I21">
        <v>28.931000000000001</v>
      </c>
      <c r="J21">
        <f t="shared" si="0"/>
        <v>20.143999999999998</v>
      </c>
      <c r="K21">
        <v>13.598000000000001</v>
      </c>
      <c r="L21">
        <v>1</v>
      </c>
      <c r="M21">
        <v>0</v>
      </c>
      <c r="N21">
        <v>1</v>
      </c>
      <c r="Q21">
        <v>2.65</v>
      </c>
      <c r="R21">
        <v>3.3740000000000001</v>
      </c>
      <c r="S21">
        <v>0.27400000000000002</v>
      </c>
      <c r="T21">
        <v>3.101</v>
      </c>
      <c r="U21">
        <v>8.7750000000000004</v>
      </c>
      <c r="V21">
        <v>0.24399999999999999</v>
      </c>
      <c r="AA21">
        <f>IF(Attempts[[#This Row],[keystroke_result]]="logged in",1,0)</f>
        <v>0</v>
      </c>
      <c r="AB21">
        <f>IF(Attempts[[#This Row],[graphical_result]]="logged in",1,0)</f>
        <v>0</v>
      </c>
      <c r="AC21">
        <f>IF(Attempts[[#This Row],[mouse_result]]="logged in",1,0)</f>
        <v>0</v>
      </c>
      <c r="AD21">
        <f>IF(Attempts[[#This Row],[final_result]]="logged in",1,0)</f>
        <v>0</v>
      </c>
      <c r="AE21">
        <f>IF(Attempts[[#This Row],[is_impostor]]=0,1,0)</f>
        <v>0</v>
      </c>
      <c r="AF21">
        <f>IF(Attempts[[#This Row],[is_impostor]]=1,1,0)</f>
        <v>1</v>
      </c>
      <c r="AG21">
        <f>IF(AND(Attempts[[#This Row],[keystroke_pass]]=1,Attempts[[#This Row],[graphical_pass]]=1,Attempts[[#This Row],[mouse_pass]]=1),1,0)</f>
        <v>0</v>
      </c>
      <c r="AH21">
        <f>IF(AND(Attempts[[#This Row],[keystroke_pass]]=1, OR(Attempts[[#This Row],[graphical_pass]]=1, Attempts[[#This Row],[mouse_pass]]=1)), 1, 0)</f>
        <v>0</v>
      </c>
      <c r="AI21" t="str">
        <f>IF(Attempts[[#This Row],[final_result]]="logged in",Attempts[[#This Row],[login_attempt_number]],"")</f>
        <v/>
      </c>
      <c r="AJ21">
        <f>IF(AND(Attempts[[#This Row],[is_impostor]]=0,Attempts[[#This Row],[final_result]]="logged in"),1,0)</f>
        <v>0</v>
      </c>
      <c r="AK21">
        <f>IF(AND(Attempts[[#This Row],[is_impostor]]=0,Attempts[[#This Row],[final_result]]="logged in",Attempts[[#This Row],[tries_to_success]]&gt;1),1,0)</f>
        <v>0</v>
      </c>
      <c r="AL21">
        <f>IF(Attempts[[#This Row],[prompt_match]]=0,1,0)</f>
        <v>0</v>
      </c>
    </row>
    <row r="22" spans="1:38">
      <c r="A22">
        <f t="shared" si="1"/>
        <v>21</v>
      </c>
      <c r="B22" t="s">
        <v>32</v>
      </c>
      <c r="C22">
        <v>1</v>
      </c>
      <c r="D22" t="s">
        <v>28</v>
      </c>
      <c r="E22" t="s">
        <v>28</v>
      </c>
      <c r="F22" t="s">
        <v>28</v>
      </c>
      <c r="G22" t="s">
        <v>28</v>
      </c>
      <c r="H22">
        <v>17.251000000000001</v>
      </c>
      <c r="I22">
        <v>6.42</v>
      </c>
      <c r="J22">
        <f t="shared" si="0"/>
        <v>7.8010000000000019</v>
      </c>
      <c r="K22">
        <v>3.03</v>
      </c>
      <c r="L22">
        <v>2</v>
      </c>
      <c r="M22">
        <v>0</v>
      </c>
      <c r="N22">
        <v>1</v>
      </c>
      <c r="Q22">
        <v>0.95499999999999996</v>
      </c>
      <c r="R22">
        <v>1.0880000000000001</v>
      </c>
      <c r="S22">
        <v>0.51200000000000001</v>
      </c>
      <c r="T22">
        <v>4.7309999999999999</v>
      </c>
      <c r="U22">
        <v>6.2249999999999996</v>
      </c>
      <c r="V22">
        <v>0.17399999999999999</v>
      </c>
      <c r="AA22">
        <f>IF(Attempts[[#This Row],[keystroke_result]]="logged in",1,0)</f>
        <v>0</v>
      </c>
      <c r="AB22">
        <f>IF(Attempts[[#This Row],[graphical_result]]="logged in",1,0)</f>
        <v>0</v>
      </c>
      <c r="AC22">
        <f>IF(Attempts[[#This Row],[mouse_result]]="logged in",1,0)</f>
        <v>0</v>
      </c>
      <c r="AD22">
        <f>IF(Attempts[[#This Row],[final_result]]="logged in",1,0)</f>
        <v>0</v>
      </c>
      <c r="AE22">
        <f>IF(Attempts[[#This Row],[is_impostor]]=0,1,0)</f>
        <v>0</v>
      </c>
      <c r="AF22">
        <f>IF(Attempts[[#This Row],[is_impostor]]=1,1,0)</f>
        <v>1</v>
      </c>
      <c r="AG22">
        <f>IF(AND(Attempts[[#This Row],[keystroke_pass]]=1,Attempts[[#This Row],[graphical_pass]]=1,Attempts[[#This Row],[mouse_pass]]=1),1,0)</f>
        <v>0</v>
      </c>
      <c r="AH22">
        <f>IF(AND(Attempts[[#This Row],[keystroke_pass]]=1, OR(Attempts[[#This Row],[graphical_pass]]=1, Attempts[[#This Row],[mouse_pass]]=1)), 1, 0)</f>
        <v>0</v>
      </c>
      <c r="AI22" t="str">
        <f>IF(Attempts[[#This Row],[final_result]]="logged in",Attempts[[#This Row],[login_attempt_number]],"")</f>
        <v/>
      </c>
      <c r="AJ22">
        <f>IF(AND(Attempts[[#This Row],[is_impostor]]=0,Attempts[[#This Row],[final_result]]="logged in"),1,0)</f>
        <v>0</v>
      </c>
      <c r="AK22">
        <f>IF(AND(Attempts[[#This Row],[is_impostor]]=0,Attempts[[#This Row],[final_result]]="logged in",Attempts[[#This Row],[tries_to_success]]&gt;1),1,0)</f>
        <v>0</v>
      </c>
      <c r="AL22">
        <f>IF(Attempts[[#This Row],[prompt_match]]=0,1,0)</f>
        <v>0</v>
      </c>
    </row>
    <row r="23" spans="1:38">
      <c r="A23">
        <f t="shared" si="1"/>
        <v>22</v>
      </c>
      <c r="B23" t="s">
        <v>32</v>
      </c>
      <c r="C23">
        <v>1</v>
      </c>
      <c r="D23" t="s">
        <v>28</v>
      </c>
      <c r="E23" t="s">
        <v>28</v>
      </c>
      <c r="F23" t="s">
        <v>27</v>
      </c>
      <c r="G23" t="s">
        <v>28</v>
      </c>
      <c r="H23">
        <v>31.24</v>
      </c>
      <c r="I23">
        <v>12.961</v>
      </c>
      <c r="J23">
        <f t="shared" si="0"/>
        <v>13.969999999999999</v>
      </c>
      <c r="K23">
        <v>4.3090000000000002</v>
      </c>
      <c r="L23">
        <v>3</v>
      </c>
      <c r="M23">
        <v>0</v>
      </c>
      <c r="N23">
        <v>1</v>
      </c>
      <c r="Q23">
        <v>0.45900000000000002</v>
      </c>
      <c r="R23">
        <v>0.79600000000000004</v>
      </c>
      <c r="S23">
        <v>0.68500000000000005</v>
      </c>
      <c r="T23">
        <v>0.93100000000000005</v>
      </c>
      <c r="U23">
        <v>1.702</v>
      </c>
      <c r="V23">
        <v>0.51800000000000002</v>
      </c>
      <c r="AA23">
        <f>IF(Attempts[[#This Row],[keystroke_result]]="logged in",1,0)</f>
        <v>0</v>
      </c>
      <c r="AB23">
        <f>IF(Attempts[[#This Row],[graphical_result]]="logged in",1,0)</f>
        <v>0</v>
      </c>
      <c r="AC23">
        <f>IF(Attempts[[#This Row],[mouse_result]]="logged in",1,0)</f>
        <v>1</v>
      </c>
      <c r="AD23">
        <f>IF(Attempts[[#This Row],[final_result]]="logged in",1,0)</f>
        <v>0</v>
      </c>
      <c r="AE23">
        <f>IF(Attempts[[#This Row],[is_impostor]]=0,1,0)</f>
        <v>0</v>
      </c>
      <c r="AF23">
        <f>IF(Attempts[[#This Row],[is_impostor]]=1,1,0)</f>
        <v>1</v>
      </c>
      <c r="AG23">
        <f>IF(AND(Attempts[[#This Row],[keystroke_pass]]=1,Attempts[[#This Row],[graphical_pass]]=1,Attempts[[#This Row],[mouse_pass]]=1),1,0)</f>
        <v>0</v>
      </c>
      <c r="AH23">
        <f>IF(AND(Attempts[[#This Row],[keystroke_pass]]=1, OR(Attempts[[#This Row],[graphical_pass]]=1, Attempts[[#This Row],[mouse_pass]]=1)), 1, 0)</f>
        <v>0</v>
      </c>
      <c r="AI23" t="str">
        <f>IF(Attempts[[#This Row],[final_result]]="logged in",Attempts[[#This Row],[login_attempt_number]],"")</f>
        <v/>
      </c>
      <c r="AJ23">
        <f>IF(AND(Attempts[[#This Row],[is_impostor]]=0,Attempts[[#This Row],[final_result]]="logged in"),1,0)</f>
        <v>0</v>
      </c>
      <c r="AK23">
        <f>IF(AND(Attempts[[#This Row],[is_impostor]]=0,Attempts[[#This Row],[final_result]]="logged in",Attempts[[#This Row],[tries_to_success]]&gt;1),1,0)</f>
        <v>0</v>
      </c>
      <c r="AL23">
        <f>IF(Attempts[[#This Row],[prompt_match]]=0,1,0)</f>
        <v>0</v>
      </c>
    </row>
    <row r="24" spans="1:38">
      <c r="A24">
        <f t="shared" si="1"/>
        <v>23</v>
      </c>
      <c r="B24" t="s">
        <v>32</v>
      </c>
      <c r="C24">
        <v>1</v>
      </c>
      <c r="D24" t="s">
        <v>28</v>
      </c>
      <c r="E24" t="s">
        <v>27</v>
      </c>
      <c r="F24" t="s">
        <v>28</v>
      </c>
      <c r="G24" t="s">
        <v>28</v>
      </c>
      <c r="H24">
        <v>16.456</v>
      </c>
      <c r="I24">
        <v>9.15</v>
      </c>
      <c r="J24">
        <f t="shared" si="0"/>
        <v>4.3189999999999991</v>
      </c>
      <c r="K24">
        <v>2.9870000000000001</v>
      </c>
      <c r="L24">
        <v>3</v>
      </c>
      <c r="M24">
        <v>0</v>
      </c>
      <c r="N24">
        <v>1</v>
      </c>
      <c r="O24" t="s">
        <v>33</v>
      </c>
      <c r="P24" t="s">
        <v>34</v>
      </c>
      <c r="Q24">
        <v>0.76</v>
      </c>
      <c r="R24">
        <v>0.83799999999999997</v>
      </c>
      <c r="S24">
        <v>0.56799999999999995</v>
      </c>
      <c r="T24">
        <v>3.6960000000000002</v>
      </c>
      <c r="U24">
        <v>4.851</v>
      </c>
      <c r="V24">
        <v>0.21299999999999999</v>
      </c>
      <c r="AA24">
        <f>IF(Attempts[[#This Row],[keystroke_result]]="logged in",1,0)</f>
        <v>0</v>
      </c>
      <c r="AB24">
        <f>IF(Attempts[[#This Row],[graphical_result]]="logged in",1,0)</f>
        <v>1</v>
      </c>
      <c r="AC24">
        <f>IF(Attempts[[#This Row],[mouse_result]]="logged in",1,0)</f>
        <v>0</v>
      </c>
      <c r="AD24">
        <f>IF(Attempts[[#This Row],[final_result]]="logged in",1,0)</f>
        <v>0</v>
      </c>
      <c r="AE24">
        <f>IF(Attempts[[#This Row],[is_impostor]]=0,1,0)</f>
        <v>0</v>
      </c>
      <c r="AF24">
        <f>IF(Attempts[[#This Row],[is_impostor]]=1,1,0)</f>
        <v>1</v>
      </c>
      <c r="AG24">
        <f>IF(AND(Attempts[[#This Row],[keystroke_pass]]=1,Attempts[[#This Row],[graphical_pass]]=1,Attempts[[#This Row],[mouse_pass]]=1),1,0)</f>
        <v>0</v>
      </c>
      <c r="AH24">
        <f>IF(AND(Attempts[[#This Row],[keystroke_pass]]=1, OR(Attempts[[#This Row],[graphical_pass]]=1, Attempts[[#This Row],[mouse_pass]]=1)), 1, 0)</f>
        <v>0</v>
      </c>
      <c r="AI24" t="str">
        <f>IF(Attempts[[#This Row],[final_result]]="logged in",Attempts[[#This Row],[login_attempt_number]],"")</f>
        <v/>
      </c>
      <c r="AJ24">
        <f>IF(AND(Attempts[[#This Row],[is_impostor]]=0,Attempts[[#This Row],[final_result]]="logged in"),1,0)</f>
        <v>0</v>
      </c>
      <c r="AK24">
        <f>IF(AND(Attempts[[#This Row],[is_impostor]]=0,Attempts[[#This Row],[final_result]]="logged in",Attempts[[#This Row],[tries_to_success]]&gt;1),1,0)</f>
        <v>0</v>
      </c>
      <c r="AL24">
        <f>IF(Attempts[[#This Row],[prompt_match]]=0,1,0)</f>
        <v>0</v>
      </c>
    </row>
    <row r="25" spans="1:38">
      <c r="A25">
        <f t="shared" si="1"/>
        <v>24</v>
      </c>
      <c r="B25" t="s">
        <v>32</v>
      </c>
      <c r="C25">
        <v>1</v>
      </c>
      <c r="D25" t="s">
        <v>28</v>
      </c>
      <c r="E25" t="s">
        <v>28</v>
      </c>
      <c r="F25" t="s">
        <v>28</v>
      </c>
      <c r="G25" t="s">
        <v>28</v>
      </c>
      <c r="H25">
        <v>17.251000000000001</v>
      </c>
      <c r="I25">
        <v>6.42</v>
      </c>
      <c r="J25">
        <f t="shared" si="0"/>
        <v>7.8010000000000019</v>
      </c>
      <c r="K25">
        <v>3.03</v>
      </c>
      <c r="L25">
        <v>2</v>
      </c>
      <c r="M25">
        <v>0</v>
      </c>
      <c r="N25">
        <v>1</v>
      </c>
      <c r="Q25">
        <v>0.95499999999999996</v>
      </c>
      <c r="R25">
        <v>1.0880000000000001</v>
      </c>
      <c r="S25">
        <v>0.51200000000000001</v>
      </c>
      <c r="T25">
        <v>4.7309999999999999</v>
      </c>
      <c r="U25">
        <v>6.2249999999999996</v>
      </c>
      <c r="V25">
        <v>0.17399999999999999</v>
      </c>
      <c r="AA25">
        <f>IF(Attempts[[#This Row],[keystroke_result]]="logged in",1,0)</f>
        <v>0</v>
      </c>
      <c r="AB25">
        <f>IF(Attempts[[#This Row],[graphical_result]]="logged in",1,0)</f>
        <v>0</v>
      </c>
      <c r="AC25">
        <f>IF(Attempts[[#This Row],[mouse_result]]="logged in",1,0)</f>
        <v>0</v>
      </c>
      <c r="AD25">
        <f>IF(Attempts[[#This Row],[final_result]]="logged in",1,0)</f>
        <v>0</v>
      </c>
      <c r="AE25">
        <f>IF(Attempts[[#This Row],[is_impostor]]=0,1,0)</f>
        <v>0</v>
      </c>
      <c r="AF25">
        <f>IF(Attempts[[#This Row],[is_impostor]]=1,1,0)</f>
        <v>1</v>
      </c>
      <c r="AG25">
        <f>IF(AND(Attempts[[#This Row],[keystroke_pass]]=1,Attempts[[#This Row],[graphical_pass]]=1,Attempts[[#This Row],[mouse_pass]]=1),1,0)</f>
        <v>0</v>
      </c>
      <c r="AH25">
        <f>IF(AND(Attempts[[#This Row],[keystroke_pass]]=1, OR(Attempts[[#This Row],[graphical_pass]]=1, Attempts[[#This Row],[mouse_pass]]=1)), 1, 0)</f>
        <v>0</v>
      </c>
      <c r="AI25" t="str">
        <f>IF(Attempts[[#This Row],[final_result]]="logged in",Attempts[[#This Row],[login_attempt_number]],"")</f>
        <v/>
      </c>
      <c r="AJ25">
        <f>IF(AND(Attempts[[#This Row],[is_impostor]]=0,Attempts[[#This Row],[final_result]]="logged in"),1,0)</f>
        <v>0</v>
      </c>
      <c r="AK25">
        <f>IF(AND(Attempts[[#This Row],[is_impostor]]=0,Attempts[[#This Row],[final_result]]="logged in",Attempts[[#This Row],[tries_to_success]]&gt;1),1,0)</f>
        <v>0</v>
      </c>
      <c r="AL25">
        <f>IF(Attempts[[#This Row],[prompt_match]]=0,1,0)</f>
        <v>0</v>
      </c>
    </row>
    <row r="26" spans="1:38">
      <c r="A26">
        <f t="shared" si="1"/>
        <v>25</v>
      </c>
      <c r="B26" t="s">
        <v>32</v>
      </c>
      <c r="C26">
        <v>1</v>
      </c>
      <c r="D26" t="s">
        <v>28</v>
      </c>
      <c r="E26" t="s">
        <v>28</v>
      </c>
      <c r="F26" t="s">
        <v>27</v>
      </c>
      <c r="G26" t="s">
        <v>28</v>
      </c>
      <c r="H26">
        <v>31.24</v>
      </c>
      <c r="I26">
        <v>12.961</v>
      </c>
      <c r="J26">
        <f t="shared" si="0"/>
        <v>13.969999999999999</v>
      </c>
      <c r="K26">
        <v>4.3090000000000002</v>
      </c>
      <c r="L26">
        <v>3</v>
      </c>
      <c r="M26">
        <v>0</v>
      </c>
      <c r="N26">
        <v>1</v>
      </c>
      <c r="Q26">
        <v>0.45900000000000002</v>
      </c>
      <c r="R26">
        <v>0.79600000000000004</v>
      </c>
      <c r="S26">
        <v>0.68500000000000005</v>
      </c>
      <c r="T26">
        <v>0.93100000000000005</v>
      </c>
      <c r="U26">
        <v>1.702</v>
      </c>
      <c r="V26">
        <v>0.51800000000000002</v>
      </c>
      <c r="AA26">
        <f>IF(Attempts[[#This Row],[keystroke_result]]="logged in",1,0)</f>
        <v>0</v>
      </c>
      <c r="AB26">
        <f>IF(Attempts[[#This Row],[graphical_result]]="logged in",1,0)</f>
        <v>0</v>
      </c>
      <c r="AC26">
        <f>IF(Attempts[[#This Row],[mouse_result]]="logged in",1,0)</f>
        <v>1</v>
      </c>
      <c r="AD26">
        <f>IF(Attempts[[#This Row],[final_result]]="logged in",1,0)</f>
        <v>0</v>
      </c>
      <c r="AE26">
        <f>IF(Attempts[[#This Row],[is_impostor]]=0,1,0)</f>
        <v>0</v>
      </c>
      <c r="AF26">
        <f>IF(Attempts[[#This Row],[is_impostor]]=1,1,0)</f>
        <v>1</v>
      </c>
      <c r="AG26">
        <f>IF(AND(Attempts[[#This Row],[keystroke_pass]]=1,Attempts[[#This Row],[graphical_pass]]=1,Attempts[[#This Row],[mouse_pass]]=1),1,0)</f>
        <v>0</v>
      </c>
      <c r="AH26">
        <f>IF(AND(Attempts[[#This Row],[keystroke_pass]]=1, OR(Attempts[[#This Row],[graphical_pass]]=1, Attempts[[#This Row],[mouse_pass]]=1)), 1, 0)</f>
        <v>0</v>
      </c>
      <c r="AI26" t="str">
        <f>IF(Attempts[[#This Row],[final_result]]="logged in",Attempts[[#This Row],[login_attempt_number]],"")</f>
        <v/>
      </c>
      <c r="AJ26">
        <f>IF(AND(Attempts[[#This Row],[is_impostor]]=0,Attempts[[#This Row],[final_result]]="logged in"),1,0)</f>
        <v>0</v>
      </c>
      <c r="AK26">
        <f>IF(AND(Attempts[[#This Row],[is_impostor]]=0,Attempts[[#This Row],[final_result]]="logged in",Attempts[[#This Row],[tries_to_success]]&gt;1),1,0)</f>
        <v>0</v>
      </c>
      <c r="AL26">
        <f>IF(Attempts[[#This Row],[prompt_match]]=0,1,0)</f>
        <v>0</v>
      </c>
    </row>
    <row r="27" spans="1:38">
      <c r="A27">
        <f t="shared" si="1"/>
        <v>26</v>
      </c>
      <c r="B27" t="s">
        <v>32</v>
      </c>
      <c r="C27">
        <v>1</v>
      </c>
      <c r="D27" t="s">
        <v>28</v>
      </c>
      <c r="E27" t="s">
        <v>27</v>
      </c>
      <c r="F27" t="s">
        <v>28</v>
      </c>
      <c r="G27" t="s">
        <v>28</v>
      </c>
      <c r="H27">
        <v>23.501000000000001</v>
      </c>
      <c r="I27">
        <v>13.093</v>
      </c>
      <c r="J27">
        <f t="shared" si="0"/>
        <v>6.6189999999999998</v>
      </c>
      <c r="K27">
        <v>3.7890000000000001</v>
      </c>
      <c r="L27">
        <v>2</v>
      </c>
      <c r="M27">
        <v>0</v>
      </c>
      <c r="N27">
        <v>1</v>
      </c>
      <c r="O27" t="s">
        <v>33</v>
      </c>
      <c r="P27" t="s">
        <v>34</v>
      </c>
      <c r="Q27">
        <v>0.55200000000000005</v>
      </c>
      <c r="R27">
        <v>1.4410000000000001</v>
      </c>
      <c r="S27">
        <v>0.64400000000000002</v>
      </c>
      <c r="T27">
        <v>1.857</v>
      </c>
      <c r="U27">
        <v>4.8650000000000002</v>
      </c>
      <c r="V27">
        <v>0.35</v>
      </c>
      <c r="AA27">
        <f>IF(Attempts[[#This Row],[keystroke_result]]="logged in",1,0)</f>
        <v>0</v>
      </c>
      <c r="AB27">
        <f>IF(Attempts[[#This Row],[graphical_result]]="logged in",1,0)</f>
        <v>1</v>
      </c>
      <c r="AC27">
        <f>IF(Attempts[[#This Row],[mouse_result]]="logged in",1,0)</f>
        <v>0</v>
      </c>
      <c r="AD27">
        <f>IF(Attempts[[#This Row],[final_result]]="logged in",1,0)</f>
        <v>0</v>
      </c>
      <c r="AE27">
        <f>IF(Attempts[[#This Row],[is_impostor]]=0,1,0)</f>
        <v>0</v>
      </c>
      <c r="AF27">
        <f>IF(Attempts[[#This Row],[is_impostor]]=1,1,0)</f>
        <v>1</v>
      </c>
      <c r="AG27">
        <f>IF(AND(Attempts[[#This Row],[keystroke_pass]]=1,Attempts[[#This Row],[graphical_pass]]=1,Attempts[[#This Row],[mouse_pass]]=1),1,0)</f>
        <v>0</v>
      </c>
      <c r="AH27">
        <f>IF(AND(Attempts[[#This Row],[keystroke_pass]]=1, OR(Attempts[[#This Row],[graphical_pass]]=1, Attempts[[#This Row],[mouse_pass]]=1)), 1, 0)</f>
        <v>0</v>
      </c>
      <c r="AI27" t="str">
        <f>IF(Attempts[[#This Row],[final_result]]="logged in",Attempts[[#This Row],[login_attempt_number]],"")</f>
        <v/>
      </c>
      <c r="AJ27">
        <f>IF(AND(Attempts[[#This Row],[is_impostor]]=0,Attempts[[#This Row],[final_result]]="logged in"),1,0)</f>
        <v>0</v>
      </c>
      <c r="AK27">
        <f>IF(AND(Attempts[[#This Row],[is_impostor]]=0,Attempts[[#This Row],[final_result]]="logged in",Attempts[[#This Row],[tries_to_success]]&gt;1),1,0)</f>
        <v>0</v>
      </c>
      <c r="AL27">
        <f>IF(Attempts[[#This Row],[prompt_match]]=0,1,0)</f>
        <v>0</v>
      </c>
    </row>
    <row r="28" spans="1:38">
      <c r="A28">
        <f t="shared" si="1"/>
        <v>27</v>
      </c>
      <c r="B28" t="s">
        <v>32</v>
      </c>
      <c r="C28">
        <v>1</v>
      </c>
      <c r="D28" t="s">
        <v>28</v>
      </c>
      <c r="E28" t="s">
        <v>28</v>
      </c>
      <c r="F28" t="s">
        <v>28</v>
      </c>
      <c r="G28" t="s">
        <v>28</v>
      </c>
      <c r="H28">
        <v>19.289000000000001</v>
      </c>
      <c r="I28">
        <v>10.32</v>
      </c>
      <c r="J28">
        <f t="shared" si="0"/>
        <v>4.9600000000000009</v>
      </c>
      <c r="K28">
        <v>4.0090000000000003</v>
      </c>
      <c r="L28">
        <v>1</v>
      </c>
      <c r="M28">
        <v>0</v>
      </c>
      <c r="N28">
        <v>1</v>
      </c>
      <c r="Q28">
        <v>0.94499999999999995</v>
      </c>
      <c r="R28">
        <v>1.2170000000000001</v>
      </c>
      <c r="S28">
        <v>0.51400000000000001</v>
      </c>
      <c r="T28">
        <v>1.9279999999999999</v>
      </c>
      <c r="U28">
        <v>2.86</v>
      </c>
      <c r="V28">
        <v>0.34200000000000003</v>
      </c>
      <c r="AA28">
        <f>IF(Attempts[[#This Row],[keystroke_result]]="logged in",1,0)</f>
        <v>0</v>
      </c>
      <c r="AB28">
        <f>IF(Attempts[[#This Row],[graphical_result]]="logged in",1,0)</f>
        <v>0</v>
      </c>
      <c r="AC28">
        <f>IF(Attempts[[#This Row],[mouse_result]]="logged in",1,0)</f>
        <v>0</v>
      </c>
      <c r="AD28">
        <f>IF(Attempts[[#This Row],[final_result]]="logged in",1,0)</f>
        <v>0</v>
      </c>
      <c r="AE28">
        <f>IF(Attempts[[#This Row],[is_impostor]]=0,1,0)</f>
        <v>0</v>
      </c>
      <c r="AF28">
        <f>IF(Attempts[[#This Row],[is_impostor]]=1,1,0)</f>
        <v>1</v>
      </c>
      <c r="AG28">
        <f>IF(AND(Attempts[[#This Row],[keystroke_pass]]=1,Attempts[[#This Row],[graphical_pass]]=1,Attempts[[#This Row],[mouse_pass]]=1),1,0)</f>
        <v>0</v>
      </c>
      <c r="AH28">
        <f>IF(AND(Attempts[[#This Row],[keystroke_pass]]=1, OR(Attempts[[#This Row],[graphical_pass]]=1, Attempts[[#This Row],[mouse_pass]]=1)), 1, 0)</f>
        <v>0</v>
      </c>
      <c r="AI28" t="str">
        <f>IF(Attempts[[#This Row],[final_result]]="logged in",Attempts[[#This Row],[login_attempt_number]],"")</f>
        <v/>
      </c>
      <c r="AJ28">
        <f>IF(AND(Attempts[[#This Row],[is_impostor]]=0,Attempts[[#This Row],[final_result]]="logged in"),1,0)</f>
        <v>0</v>
      </c>
      <c r="AK28">
        <f>IF(AND(Attempts[[#This Row],[is_impostor]]=0,Attempts[[#This Row],[final_result]]="logged in",Attempts[[#This Row],[tries_to_success]]&gt;1),1,0)</f>
        <v>0</v>
      </c>
      <c r="AL28">
        <f>IF(Attempts[[#This Row],[prompt_match]]=0,1,0)</f>
        <v>0</v>
      </c>
    </row>
    <row r="29" spans="1:38">
      <c r="A29">
        <f t="shared" si="1"/>
        <v>28</v>
      </c>
      <c r="B29" t="s">
        <v>32</v>
      </c>
      <c r="C29">
        <v>1</v>
      </c>
      <c r="D29" t="s">
        <v>28</v>
      </c>
      <c r="E29" t="s">
        <v>28</v>
      </c>
      <c r="F29" t="s">
        <v>27</v>
      </c>
      <c r="G29" t="s">
        <v>28</v>
      </c>
      <c r="H29">
        <v>31.24</v>
      </c>
      <c r="I29">
        <v>12.961</v>
      </c>
      <c r="J29">
        <f t="shared" si="0"/>
        <v>13.969999999999999</v>
      </c>
      <c r="K29">
        <v>4.3090000000000002</v>
      </c>
      <c r="L29">
        <v>3</v>
      </c>
      <c r="M29">
        <v>0</v>
      </c>
      <c r="N29">
        <v>1</v>
      </c>
      <c r="Q29">
        <v>0.45900000000000002</v>
      </c>
      <c r="R29">
        <v>0.79600000000000004</v>
      </c>
      <c r="S29">
        <v>0.68500000000000005</v>
      </c>
      <c r="T29">
        <v>0.93100000000000005</v>
      </c>
      <c r="U29">
        <v>1.702</v>
      </c>
      <c r="V29">
        <v>0.51800000000000002</v>
      </c>
      <c r="AA29">
        <f>IF(Attempts[[#This Row],[keystroke_result]]="logged in",1,0)</f>
        <v>0</v>
      </c>
      <c r="AB29">
        <f>IF(Attempts[[#This Row],[graphical_result]]="logged in",1,0)</f>
        <v>0</v>
      </c>
      <c r="AC29">
        <f>IF(Attempts[[#This Row],[mouse_result]]="logged in",1,0)</f>
        <v>1</v>
      </c>
      <c r="AD29">
        <f>IF(Attempts[[#This Row],[final_result]]="logged in",1,0)</f>
        <v>0</v>
      </c>
      <c r="AE29">
        <f>IF(Attempts[[#This Row],[is_impostor]]=0,1,0)</f>
        <v>0</v>
      </c>
      <c r="AF29">
        <f>IF(Attempts[[#This Row],[is_impostor]]=1,1,0)</f>
        <v>1</v>
      </c>
      <c r="AG29">
        <f>IF(AND(Attempts[[#This Row],[keystroke_pass]]=1,Attempts[[#This Row],[graphical_pass]]=1,Attempts[[#This Row],[mouse_pass]]=1),1,0)</f>
        <v>0</v>
      </c>
      <c r="AH29">
        <f>IF(AND(Attempts[[#This Row],[keystroke_pass]]=1, OR(Attempts[[#This Row],[graphical_pass]]=1, Attempts[[#This Row],[mouse_pass]]=1)), 1, 0)</f>
        <v>0</v>
      </c>
      <c r="AI29" t="str">
        <f>IF(Attempts[[#This Row],[final_result]]="logged in",Attempts[[#This Row],[login_attempt_number]],"")</f>
        <v/>
      </c>
      <c r="AJ29">
        <f>IF(AND(Attempts[[#This Row],[is_impostor]]=0,Attempts[[#This Row],[final_result]]="logged in"),1,0)</f>
        <v>0</v>
      </c>
      <c r="AK29">
        <f>IF(AND(Attempts[[#This Row],[is_impostor]]=0,Attempts[[#This Row],[final_result]]="logged in",Attempts[[#This Row],[tries_to_success]]&gt;1),1,0)</f>
        <v>0</v>
      </c>
      <c r="AL29">
        <f>IF(Attempts[[#This Row],[prompt_match]]=0,1,0)</f>
        <v>0</v>
      </c>
    </row>
    <row r="30" spans="1:38">
      <c r="A30">
        <f t="shared" si="1"/>
        <v>29</v>
      </c>
      <c r="B30" t="s">
        <v>32</v>
      </c>
      <c r="C30">
        <v>1</v>
      </c>
      <c r="D30" t="s">
        <v>28</v>
      </c>
      <c r="E30" t="s">
        <v>28</v>
      </c>
      <c r="F30" t="s">
        <v>28</v>
      </c>
      <c r="G30" t="s">
        <v>28</v>
      </c>
      <c r="H30">
        <v>23.501000000000001</v>
      </c>
      <c r="I30">
        <v>13.093</v>
      </c>
      <c r="J30">
        <f t="shared" si="0"/>
        <v>6.6189999999999998</v>
      </c>
      <c r="K30">
        <v>3.7890000000000001</v>
      </c>
      <c r="L30">
        <v>2</v>
      </c>
      <c r="M30">
        <v>0</v>
      </c>
      <c r="N30">
        <v>1</v>
      </c>
      <c r="Q30">
        <v>0.55200000000000005</v>
      </c>
      <c r="R30">
        <v>1.4410000000000001</v>
      </c>
      <c r="S30">
        <v>0.64400000000000002</v>
      </c>
      <c r="T30">
        <v>1.857</v>
      </c>
      <c r="U30">
        <v>4.8650000000000002</v>
      </c>
      <c r="V30">
        <v>0.35</v>
      </c>
      <c r="AA30">
        <f>IF(Attempts[[#This Row],[keystroke_result]]="logged in",1,0)</f>
        <v>0</v>
      </c>
      <c r="AB30">
        <f>IF(Attempts[[#This Row],[graphical_result]]="logged in",1,0)</f>
        <v>0</v>
      </c>
      <c r="AC30">
        <f>IF(Attempts[[#This Row],[mouse_result]]="logged in",1,0)</f>
        <v>0</v>
      </c>
      <c r="AD30">
        <f>IF(Attempts[[#This Row],[final_result]]="logged in",1,0)</f>
        <v>0</v>
      </c>
      <c r="AE30">
        <f>IF(Attempts[[#This Row],[is_impostor]]=0,1,0)</f>
        <v>0</v>
      </c>
      <c r="AF30">
        <f>IF(Attempts[[#This Row],[is_impostor]]=1,1,0)</f>
        <v>1</v>
      </c>
      <c r="AG30">
        <f>IF(AND(Attempts[[#This Row],[keystroke_pass]]=1,Attempts[[#This Row],[graphical_pass]]=1,Attempts[[#This Row],[mouse_pass]]=1),1,0)</f>
        <v>0</v>
      </c>
      <c r="AH30">
        <f>IF(AND(Attempts[[#This Row],[keystroke_pass]]=1, OR(Attempts[[#This Row],[graphical_pass]]=1, Attempts[[#This Row],[mouse_pass]]=1)), 1, 0)</f>
        <v>0</v>
      </c>
      <c r="AI30" t="str">
        <f>IF(Attempts[[#This Row],[final_result]]="logged in",Attempts[[#This Row],[login_attempt_number]],"")</f>
        <v/>
      </c>
      <c r="AJ30">
        <f>IF(AND(Attempts[[#This Row],[is_impostor]]=0,Attempts[[#This Row],[final_result]]="logged in"),1,0)</f>
        <v>0</v>
      </c>
      <c r="AK30">
        <f>IF(AND(Attempts[[#This Row],[is_impostor]]=0,Attempts[[#This Row],[final_result]]="logged in",Attempts[[#This Row],[tries_to_success]]&gt;1),1,0)</f>
        <v>0</v>
      </c>
      <c r="AL30">
        <f>IF(Attempts[[#This Row],[prompt_match]]=0,1,0)</f>
        <v>0</v>
      </c>
    </row>
    <row r="31" spans="1:38">
      <c r="A31">
        <f t="shared" si="1"/>
        <v>30</v>
      </c>
      <c r="B31" t="s">
        <v>32</v>
      </c>
      <c r="C31">
        <v>1</v>
      </c>
      <c r="D31" t="s">
        <v>28</v>
      </c>
      <c r="E31" t="s">
        <v>28</v>
      </c>
      <c r="F31" t="s">
        <v>28</v>
      </c>
      <c r="G31" t="s">
        <v>28</v>
      </c>
      <c r="H31">
        <v>19.289000000000001</v>
      </c>
      <c r="I31">
        <v>10.32</v>
      </c>
      <c r="J31">
        <f t="shared" si="0"/>
        <v>4.9600000000000009</v>
      </c>
      <c r="K31">
        <v>4.0090000000000003</v>
      </c>
      <c r="L31">
        <v>1</v>
      </c>
      <c r="M31">
        <v>0</v>
      </c>
      <c r="N31">
        <v>1</v>
      </c>
      <c r="Q31">
        <v>0.94499999999999995</v>
      </c>
      <c r="R31">
        <v>1.2170000000000001</v>
      </c>
      <c r="S31">
        <v>0.51400000000000001</v>
      </c>
      <c r="T31">
        <v>1.9279999999999999</v>
      </c>
      <c r="U31">
        <v>2.86</v>
      </c>
      <c r="V31">
        <v>0.34200000000000003</v>
      </c>
      <c r="AA31">
        <f>IF(Attempts[[#This Row],[keystroke_result]]="logged in",1,0)</f>
        <v>0</v>
      </c>
      <c r="AB31">
        <f>IF(Attempts[[#This Row],[graphical_result]]="logged in",1,0)</f>
        <v>0</v>
      </c>
      <c r="AC31">
        <f>IF(Attempts[[#This Row],[mouse_result]]="logged in",1,0)</f>
        <v>0</v>
      </c>
      <c r="AD31">
        <f>IF(Attempts[[#This Row],[final_result]]="logged in",1,0)</f>
        <v>0</v>
      </c>
      <c r="AE31">
        <f>IF(Attempts[[#This Row],[is_impostor]]=0,1,0)</f>
        <v>0</v>
      </c>
      <c r="AF31">
        <f>IF(Attempts[[#This Row],[is_impostor]]=1,1,0)</f>
        <v>1</v>
      </c>
      <c r="AG31">
        <f>IF(AND(Attempts[[#This Row],[keystroke_pass]]=1,Attempts[[#This Row],[graphical_pass]]=1,Attempts[[#This Row],[mouse_pass]]=1),1,0)</f>
        <v>0</v>
      </c>
      <c r="AH31">
        <f>IF(AND(Attempts[[#This Row],[keystroke_pass]]=1, OR(Attempts[[#This Row],[graphical_pass]]=1, Attempts[[#This Row],[mouse_pass]]=1)), 1, 0)</f>
        <v>0</v>
      </c>
      <c r="AI31" t="str">
        <f>IF(Attempts[[#This Row],[final_result]]="logged in",Attempts[[#This Row],[login_attempt_number]],"")</f>
        <v/>
      </c>
      <c r="AJ31">
        <f>IF(AND(Attempts[[#This Row],[is_impostor]]=0,Attempts[[#This Row],[final_result]]="logged in"),1,0)</f>
        <v>0</v>
      </c>
      <c r="AK31">
        <f>IF(AND(Attempts[[#This Row],[is_impostor]]=0,Attempts[[#This Row],[final_result]]="logged in",Attempts[[#This Row],[tries_to_success]]&gt;1),1,0)</f>
        <v>0</v>
      </c>
      <c r="AL31">
        <f>IF(Attempts[[#This Row],[prompt_match]]=0,1,0)</f>
        <v>0</v>
      </c>
    </row>
    <row r="32" spans="1:38">
      <c r="A32">
        <f t="shared" si="1"/>
        <v>31</v>
      </c>
      <c r="B32" t="s">
        <v>35</v>
      </c>
      <c r="C32">
        <v>1</v>
      </c>
      <c r="D32" t="s">
        <v>28</v>
      </c>
      <c r="E32" t="s">
        <v>27</v>
      </c>
      <c r="F32" t="s">
        <v>28</v>
      </c>
      <c r="G32" t="s">
        <v>28</v>
      </c>
      <c r="H32">
        <v>14.137</v>
      </c>
      <c r="I32">
        <v>8.4600000000000009</v>
      </c>
      <c r="J32">
        <f t="shared" si="0"/>
        <v>3.3309999999999995</v>
      </c>
      <c r="K32">
        <v>2.3460000000000001</v>
      </c>
      <c r="L32">
        <v>2</v>
      </c>
      <c r="M32">
        <v>0</v>
      </c>
      <c r="N32">
        <v>1</v>
      </c>
      <c r="O32" t="s">
        <v>36</v>
      </c>
      <c r="P32" t="s">
        <v>37</v>
      </c>
      <c r="Q32">
        <v>0.58399999999999996</v>
      </c>
      <c r="R32">
        <v>0.63100000000000001</v>
      </c>
      <c r="S32">
        <v>0.63100000000000001</v>
      </c>
      <c r="T32">
        <v>4.242</v>
      </c>
      <c r="U32">
        <v>8.07</v>
      </c>
      <c r="V32">
        <v>0.191</v>
      </c>
      <c r="AA32">
        <f>IF(Attempts[[#This Row],[keystroke_result]]="logged in",1,0)</f>
        <v>0</v>
      </c>
      <c r="AB32">
        <f>IF(Attempts[[#This Row],[graphical_result]]="logged in",1,0)</f>
        <v>1</v>
      </c>
      <c r="AC32">
        <f>IF(Attempts[[#This Row],[mouse_result]]="logged in",1,0)</f>
        <v>0</v>
      </c>
      <c r="AD32">
        <f>IF(Attempts[[#This Row],[final_result]]="logged in",1,0)</f>
        <v>0</v>
      </c>
      <c r="AE32">
        <f>IF(Attempts[[#This Row],[is_impostor]]=0,1,0)</f>
        <v>0</v>
      </c>
      <c r="AF32">
        <f>IF(Attempts[[#This Row],[is_impostor]]=1,1,0)</f>
        <v>1</v>
      </c>
      <c r="AG32">
        <f>IF(AND(Attempts[[#This Row],[keystroke_pass]]=1,Attempts[[#This Row],[graphical_pass]]=1,Attempts[[#This Row],[mouse_pass]]=1),1,0)</f>
        <v>0</v>
      </c>
      <c r="AH32">
        <f>IF(AND(Attempts[[#This Row],[keystroke_pass]]=1, OR(Attempts[[#This Row],[graphical_pass]]=1, Attempts[[#This Row],[mouse_pass]]=1)), 1, 0)</f>
        <v>0</v>
      </c>
      <c r="AI32" t="str">
        <f>IF(Attempts[[#This Row],[final_result]]="logged in",Attempts[[#This Row],[login_attempt_number]],"")</f>
        <v/>
      </c>
      <c r="AJ32">
        <f>IF(AND(Attempts[[#This Row],[is_impostor]]=0,Attempts[[#This Row],[final_result]]="logged in"),1,0)</f>
        <v>0</v>
      </c>
      <c r="AK32">
        <f>IF(AND(Attempts[[#This Row],[is_impostor]]=0,Attempts[[#This Row],[final_result]]="logged in",Attempts[[#This Row],[tries_to_success]]&gt;1),1,0)</f>
        <v>0</v>
      </c>
      <c r="AL32">
        <f>IF(Attempts[[#This Row],[prompt_match]]=0,1,0)</f>
        <v>0</v>
      </c>
    </row>
    <row r="33" spans="1:38">
      <c r="A33">
        <f t="shared" si="1"/>
        <v>32</v>
      </c>
      <c r="B33" t="s">
        <v>35</v>
      </c>
      <c r="C33">
        <v>1</v>
      </c>
      <c r="D33" t="s">
        <v>28</v>
      </c>
      <c r="E33" t="s">
        <v>28</v>
      </c>
      <c r="F33" t="s">
        <v>28</v>
      </c>
      <c r="G33" t="s">
        <v>28</v>
      </c>
      <c r="H33">
        <v>16.305</v>
      </c>
      <c r="I33">
        <v>9.5020000000000007</v>
      </c>
      <c r="J33">
        <f t="shared" si="0"/>
        <v>3.041999999999998</v>
      </c>
      <c r="K33">
        <v>3.7610000000000001</v>
      </c>
      <c r="L33">
        <v>1</v>
      </c>
      <c r="M33">
        <v>0</v>
      </c>
      <c r="N33">
        <v>1</v>
      </c>
      <c r="Q33">
        <v>1.9770000000000001</v>
      </c>
      <c r="R33">
        <v>6.0709999999999997</v>
      </c>
      <c r="S33">
        <v>0.33600000000000002</v>
      </c>
      <c r="T33">
        <v>1.7849999999999999</v>
      </c>
      <c r="U33">
        <v>4.2389999999999999</v>
      </c>
      <c r="V33">
        <v>0.35899999999999999</v>
      </c>
      <c r="AA33">
        <f>IF(Attempts[[#This Row],[keystroke_result]]="logged in",1,0)</f>
        <v>0</v>
      </c>
      <c r="AB33">
        <f>IF(Attempts[[#This Row],[graphical_result]]="logged in",1,0)</f>
        <v>0</v>
      </c>
      <c r="AC33">
        <f>IF(Attempts[[#This Row],[mouse_result]]="logged in",1,0)</f>
        <v>0</v>
      </c>
      <c r="AD33">
        <f>IF(Attempts[[#This Row],[final_result]]="logged in",1,0)</f>
        <v>0</v>
      </c>
      <c r="AE33">
        <f>IF(Attempts[[#This Row],[is_impostor]]=0,1,0)</f>
        <v>0</v>
      </c>
      <c r="AF33">
        <f>IF(Attempts[[#This Row],[is_impostor]]=1,1,0)</f>
        <v>1</v>
      </c>
      <c r="AG33">
        <f>IF(AND(Attempts[[#This Row],[keystroke_pass]]=1,Attempts[[#This Row],[graphical_pass]]=1,Attempts[[#This Row],[mouse_pass]]=1),1,0)</f>
        <v>0</v>
      </c>
      <c r="AH33">
        <f>IF(AND(Attempts[[#This Row],[keystroke_pass]]=1, OR(Attempts[[#This Row],[graphical_pass]]=1, Attempts[[#This Row],[mouse_pass]]=1)), 1, 0)</f>
        <v>0</v>
      </c>
      <c r="AI33" t="str">
        <f>IF(Attempts[[#This Row],[final_result]]="logged in",Attempts[[#This Row],[login_attempt_number]],"")</f>
        <v/>
      </c>
      <c r="AJ33">
        <f>IF(AND(Attempts[[#This Row],[is_impostor]]=0,Attempts[[#This Row],[final_result]]="logged in"),1,0)</f>
        <v>0</v>
      </c>
      <c r="AK33">
        <f>IF(AND(Attempts[[#This Row],[is_impostor]]=0,Attempts[[#This Row],[final_result]]="logged in",Attempts[[#This Row],[tries_to_success]]&gt;1),1,0)</f>
        <v>0</v>
      </c>
      <c r="AL33">
        <f>IF(Attempts[[#This Row],[prompt_match]]=0,1,0)</f>
        <v>0</v>
      </c>
    </row>
    <row r="34" spans="1:38">
      <c r="A34">
        <f t="shared" si="1"/>
        <v>33</v>
      </c>
      <c r="B34" t="s">
        <v>35</v>
      </c>
      <c r="C34">
        <v>1</v>
      </c>
      <c r="D34" t="s">
        <v>28</v>
      </c>
      <c r="E34" t="s">
        <v>28</v>
      </c>
      <c r="F34" t="s">
        <v>28</v>
      </c>
      <c r="G34" t="s">
        <v>28</v>
      </c>
      <c r="H34">
        <v>16.053000000000001</v>
      </c>
      <c r="I34">
        <v>7.6</v>
      </c>
      <c r="J34">
        <f t="shared" ref="J34:J65" si="2">H34-(I34+K34)</f>
        <v>5.2250000000000014</v>
      </c>
      <c r="K34">
        <v>3.2280000000000002</v>
      </c>
      <c r="L34">
        <v>2</v>
      </c>
      <c r="M34">
        <v>0</v>
      </c>
      <c r="N34">
        <v>1</v>
      </c>
      <c r="Q34">
        <v>0.58599999999999997</v>
      </c>
      <c r="R34">
        <v>0.65100000000000002</v>
      </c>
      <c r="S34">
        <v>0.63</v>
      </c>
      <c r="T34">
        <v>2.5459999999999998</v>
      </c>
      <c r="U34">
        <v>3.9820000000000002</v>
      </c>
      <c r="V34">
        <v>0.28199999999999997</v>
      </c>
      <c r="AA34">
        <f>IF(Attempts[[#This Row],[keystroke_result]]="logged in",1,0)</f>
        <v>0</v>
      </c>
      <c r="AB34">
        <f>IF(Attempts[[#This Row],[graphical_result]]="logged in",1,0)</f>
        <v>0</v>
      </c>
      <c r="AC34">
        <f>IF(Attempts[[#This Row],[mouse_result]]="logged in",1,0)</f>
        <v>0</v>
      </c>
      <c r="AD34">
        <f>IF(Attempts[[#This Row],[final_result]]="logged in",1,0)</f>
        <v>0</v>
      </c>
      <c r="AE34">
        <f>IF(Attempts[[#This Row],[is_impostor]]=0,1,0)</f>
        <v>0</v>
      </c>
      <c r="AF34">
        <f>IF(Attempts[[#This Row],[is_impostor]]=1,1,0)</f>
        <v>1</v>
      </c>
      <c r="AG34">
        <f>IF(AND(Attempts[[#This Row],[keystroke_pass]]=1,Attempts[[#This Row],[graphical_pass]]=1,Attempts[[#This Row],[mouse_pass]]=1),1,0)</f>
        <v>0</v>
      </c>
      <c r="AH34">
        <f>IF(AND(Attempts[[#This Row],[keystroke_pass]]=1, OR(Attempts[[#This Row],[graphical_pass]]=1, Attempts[[#This Row],[mouse_pass]]=1)), 1, 0)</f>
        <v>0</v>
      </c>
      <c r="AI34" t="str">
        <f>IF(Attempts[[#This Row],[final_result]]="logged in",Attempts[[#This Row],[login_attempt_number]],"")</f>
        <v/>
      </c>
      <c r="AJ34">
        <f>IF(AND(Attempts[[#This Row],[is_impostor]]=0,Attempts[[#This Row],[final_result]]="logged in"),1,0)</f>
        <v>0</v>
      </c>
      <c r="AK34">
        <f>IF(AND(Attempts[[#This Row],[is_impostor]]=0,Attempts[[#This Row],[final_result]]="logged in",Attempts[[#This Row],[tries_to_success]]&gt;1),1,0)</f>
        <v>0</v>
      </c>
      <c r="AL34">
        <f>IF(Attempts[[#This Row],[prompt_match]]=0,1,0)</f>
        <v>0</v>
      </c>
    </row>
    <row r="35" spans="1:38">
      <c r="A35">
        <f t="shared" ref="A35:A66" si="3">A34+1</f>
        <v>34</v>
      </c>
      <c r="B35" t="s">
        <v>35</v>
      </c>
      <c r="C35">
        <v>1</v>
      </c>
      <c r="D35" t="s">
        <v>28</v>
      </c>
      <c r="E35" t="s">
        <v>28</v>
      </c>
      <c r="F35" t="s">
        <v>28</v>
      </c>
      <c r="G35" t="s">
        <v>28</v>
      </c>
      <c r="H35">
        <v>21.202999999999999</v>
      </c>
      <c r="I35">
        <v>10.153</v>
      </c>
      <c r="J35">
        <f t="shared" si="2"/>
        <v>7.3499999999999979</v>
      </c>
      <c r="K35">
        <v>3.7</v>
      </c>
      <c r="L35">
        <v>1</v>
      </c>
      <c r="M35">
        <v>0</v>
      </c>
      <c r="N35">
        <v>1</v>
      </c>
      <c r="Q35">
        <v>0.60399999999999998</v>
      </c>
      <c r="R35">
        <v>1.091</v>
      </c>
      <c r="S35">
        <v>0.623</v>
      </c>
      <c r="T35">
        <v>2.1280000000000001</v>
      </c>
      <c r="U35">
        <v>3.8610000000000002</v>
      </c>
      <c r="V35">
        <v>0.32</v>
      </c>
      <c r="AA35">
        <f>IF(Attempts[[#This Row],[keystroke_result]]="logged in",1,0)</f>
        <v>0</v>
      </c>
      <c r="AB35">
        <f>IF(Attempts[[#This Row],[graphical_result]]="logged in",1,0)</f>
        <v>0</v>
      </c>
      <c r="AC35">
        <f>IF(Attempts[[#This Row],[mouse_result]]="logged in",1,0)</f>
        <v>0</v>
      </c>
      <c r="AD35">
        <f>IF(Attempts[[#This Row],[final_result]]="logged in",1,0)</f>
        <v>0</v>
      </c>
      <c r="AE35">
        <f>IF(Attempts[[#This Row],[is_impostor]]=0,1,0)</f>
        <v>0</v>
      </c>
      <c r="AF35">
        <f>IF(Attempts[[#This Row],[is_impostor]]=1,1,0)</f>
        <v>1</v>
      </c>
      <c r="AG35">
        <f>IF(AND(Attempts[[#This Row],[keystroke_pass]]=1,Attempts[[#This Row],[graphical_pass]]=1,Attempts[[#This Row],[mouse_pass]]=1),1,0)</f>
        <v>0</v>
      </c>
      <c r="AH35">
        <f>IF(AND(Attempts[[#This Row],[keystroke_pass]]=1, OR(Attempts[[#This Row],[graphical_pass]]=1, Attempts[[#This Row],[mouse_pass]]=1)), 1, 0)</f>
        <v>0</v>
      </c>
      <c r="AI35" t="str">
        <f>IF(Attempts[[#This Row],[final_result]]="logged in",Attempts[[#This Row],[login_attempt_number]],"")</f>
        <v/>
      </c>
      <c r="AJ35">
        <f>IF(AND(Attempts[[#This Row],[is_impostor]]=0,Attempts[[#This Row],[final_result]]="logged in"),1,0)</f>
        <v>0</v>
      </c>
      <c r="AK35">
        <f>IF(AND(Attempts[[#This Row],[is_impostor]]=0,Attempts[[#This Row],[final_result]]="logged in",Attempts[[#This Row],[tries_to_success]]&gt;1),1,0)</f>
        <v>0</v>
      </c>
      <c r="AL35">
        <f>IF(Attempts[[#This Row],[prompt_match]]=0,1,0)</f>
        <v>0</v>
      </c>
    </row>
    <row r="36" spans="1:38">
      <c r="A36">
        <f t="shared" si="3"/>
        <v>35</v>
      </c>
      <c r="B36" t="s">
        <v>35</v>
      </c>
      <c r="C36">
        <v>1</v>
      </c>
      <c r="D36" t="s">
        <v>28</v>
      </c>
      <c r="E36" t="s">
        <v>27</v>
      </c>
      <c r="F36" t="s">
        <v>28</v>
      </c>
      <c r="G36" t="s">
        <v>28</v>
      </c>
      <c r="H36">
        <v>20.024000000000001</v>
      </c>
      <c r="I36">
        <v>9.3510000000000009</v>
      </c>
      <c r="J36">
        <f t="shared" si="2"/>
        <v>7.0850000000000009</v>
      </c>
      <c r="K36">
        <v>3.5880000000000001</v>
      </c>
      <c r="L36">
        <v>3</v>
      </c>
      <c r="M36">
        <v>0</v>
      </c>
      <c r="N36">
        <v>1</v>
      </c>
      <c r="O36" t="s">
        <v>36</v>
      </c>
      <c r="P36" t="s">
        <v>37</v>
      </c>
      <c r="Q36">
        <v>0.63200000000000001</v>
      </c>
      <c r="R36">
        <v>1.157</v>
      </c>
      <c r="S36">
        <v>0.61299999999999999</v>
      </c>
      <c r="T36">
        <v>2.5169999999999999</v>
      </c>
      <c r="U36">
        <v>4.6769999999999996</v>
      </c>
      <c r="V36">
        <v>0.28399999999999997</v>
      </c>
      <c r="AA36">
        <f>IF(Attempts[[#This Row],[keystroke_result]]="logged in",1,0)</f>
        <v>0</v>
      </c>
      <c r="AB36">
        <f>IF(Attempts[[#This Row],[graphical_result]]="logged in",1,0)</f>
        <v>1</v>
      </c>
      <c r="AC36">
        <f>IF(Attempts[[#This Row],[mouse_result]]="logged in",1,0)</f>
        <v>0</v>
      </c>
      <c r="AD36">
        <f>IF(Attempts[[#This Row],[final_result]]="logged in",1,0)</f>
        <v>0</v>
      </c>
      <c r="AE36">
        <f>IF(Attempts[[#This Row],[is_impostor]]=0,1,0)</f>
        <v>0</v>
      </c>
      <c r="AF36">
        <f>IF(Attempts[[#This Row],[is_impostor]]=1,1,0)</f>
        <v>1</v>
      </c>
      <c r="AG36">
        <f>IF(AND(Attempts[[#This Row],[keystroke_pass]]=1,Attempts[[#This Row],[graphical_pass]]=1,Attempts[[#This Row],[mouse_pass]]=1),1,0)</f>
        <v>0</v>
      </c>
      <c r="AH36">
        <f>IF(AND(Attempts[[#This Row],[keystroke_pass]]=1, OR(Attempts[[#This Row],[graphical_pass]]=1, Attempts[[#This Row],[mouse_pass]]=1)), 1, 0)</f>
        <v>0</v>
      </c>
      <c r="AI36" t="str">
        <f>IF(Attempts[[#This Row],[final_result]]="logged in",Attempts[[#This Row],[login_attempt_number]],"")</f>
        <v/>
      </c>
      <c r="AJ36">
        <f>IF(AND(Attempts[[#This Row],[is_impostor]]=0,Attempts[[#This Row],[final_result]]="logged in"),1,0)</f>
        <v>0</v>
      </c>
      <c r="AK36">
        <f>IF(AND(Attempts[[#This Row],[is_impostor]]=0,Attempts[[#This Row],[final_result]]="logged in",Attempts[[#This Row],[tries_to_success]]&gt;1),1,0)</f>
        <v>0</v>
      </c>
      <c r="AL36">
        <f>IF(Attempts[[#This Row],[prompt_match]]=0,1,0)</f>
        <v>0</v>
      </c>
    </row>
    <row r="37" spans="1:38">
      <c r="A37">
        <f t="shared" si="3"/>
        <v>36</v>
      </c>
      <c r="B37" t="s">
        <v>35</v>
      </c>
      <c r="C37">
        <v>1</v>
      </c>
      <c r="D37" t="s">
        <v>28</v>
      </c>
      <c r="E37" t="s">
        <v>28</v>
      </c>
      <c r="F37" t="s">
        <v>28</v>
      </c>
      <c r="G37" t="s">
        <v>28</v>
      </c>
      <c r="H37">
        <v>20.673999999999999</v>
      </c>
      <c r="I37">
        <v>11.236000000000001</v>
      </c>
      <c r="J37">
        <f t="shared" si="2"/>
        <v>6.52</v>
      </c>
      <c r="K37">
        <v>2.9180000000000001</v>
      </c>
      <c r="L37">
        <v>2</v>
      </c>
      <c r="M37">
        <v>0</v>
      </c>
      <c r="N37">
        <v>1</v>
      </c>
      <c r="Q37">
        <v>0.52900000000000003</v>
      </c>
      <c r="R37">
        <v>0.77</v>
      </c>
      <c r="S37">
        <v>0.65400000000000003</v>
      </c>
      <c r="T37">
        <v>3.4529999999999998</v>
      </c>
      <c r="U37">
        <v>6.6609999999999996</v>
      </c>
      <c r="V37">
        <v>0.22500000000000001</v>
      </c>
      <c r="AA37">
        <f>IF(Attempts[[#This Row],[keystroke_result]]="logged in",1,0)</f>
        <v>0</v>
      </c>
      <c r="AB37">
        <f>IF(Attempts[[#This Row],[graphical_result]]="logged in",1,0)</f>
        <v>0</v>
      </c>
      <c r="AC37">
        <f>IF(Attempts[[#This Row],[mouse_result]]="logged in",1,0)</f>
        <v>0</v>
      </c>
      <c r="AD37">
        <f>IF(Attempts[[#This Row],[final_result]]="logged in",1,0)</f>
        <v>0</v>
      </c>
      <c r="AE37">
        <f>IF(Attempts[[#This Row],[is_impostor]]=0,1,0)</f>
        <v>0</v>
      </c>
      <c r="AF37">
        <f>IF(Attempts[[#This Row],[is_impostor]]=1,1,0)</f>
        <v>1</v>
      </c>
      <c r="AG37">
        <f>IF(AND(Attempts[[#This Row],[keystroke_pass]]=1,Attempts[[#This Row],[graphical_pass]]=1,Attempts[[#This Row],[mouse_pass]]=1),1,0)</f>
        <v>0</v>
      </c>
      <c r="AH37">
        <f>IF(AND(Attempts[[#This Row],[keystroke_pass]]=1, OR(Attempts[[#This Row],[graphical_pass]]=1, Attempts[[#This Row],[mouse_pass]]=1)), 1, 0)</f>
        <v>0</v>
      </c>
      <c r="AI37" t="str">
        <f>IF(Attempts[[#This Row],[final_result]]="logged in",Attempts[[#This Row],[login_attempt_number]],"")</f>
        <v/>
      </c>
      <c r="AJ37">
        <f>IF(AND(Attempts[[#This Row],[is_impostor]]=0,Attempts[[#This Row],[final_result]]="logged in"),1,0)</f>
        <v>0</v>
      </c>
      <c r="AK37">
        <f>IF(AND(Attempts[[#This Row],[is_impostor]]=0,Attempts[[#This Row],[final_result]]="logged in",Attempts[[#This Row],[tries_to_success]]&gt;1),1,0)</f>
        <v>0</v>
      </c>
      <c r="AL37">
        <f>IF(Attempts[[#This Row],[prompt_match]]=0,1,0)</f>
        <v>0</v>
      </c>
    </row>
    <row r="38" spans="1:38">
      <c r="A38">
        <f t="shared" si="3"/>
        <v>37</v>
      </c>
      <c r="B38" t="s">
        <v>35</v>
      </c>
      <c r="C38">
        <v>1</v>
      </c>
      <c r="D38" t="s">
        <v>28</v>
      </c>
      <c r="E38" t="s">
        <v>28</v>
      </c>
      <c r="F38" t="s">
        <v>28</v>
      </c>
      <c r="G38" t="s">
        <v>28</v>
      </c>
      <c r="H38">
        <v>23.196999999999999</v>
      </c>
      <c r="I38">
        <v>15.236000000000001</v>
      </c>
      <c r="J38">
        <f t="shared" si="2"/>
        <v>5.4229999999999983</v>
      </c>
      <c r="K38">
        <v>2.5379999999999998</v>
      </c>
      <c r="L38">
        <v>1</v>
      </c>
      <c r="M38">
        <v>0</v>
      </c>
      <c r="N38">
        <v>1</v>
      </c>
      <c r="Q38">
        <v>0.433</v>
      </c>
      <c r="R38">
        <v>1.111</v>
      </c>
      <c r="S38">
        <v>0.69799999999999995</v>
      </c>
      <c r="T38">
        <v>3.6970000000000001</v>
      </c>
      <c r="U38">
        <v>6.0839999999999996</v>
      </c>
      <c r="V38">
        <v>0.21299999999999999</v>
      </c>
      <c r="AA38">
        <f>IF(Attempts[[#This Row],[keystroke_result]]="logged in",1,0)</f>
        <v>0</v>
      </c>
      <c r="AB38">
        <f>IF(Attempts[[#This Row],[graphical_result]]="logged in",1,0)</f>
        <v>0</v>
      </c>
      <c r="AC38">
        <f>IF(Attempts[[#This Row],[mouse_result]]="logged in",1,0)</f>
        <v>0</v>
      </c>
      <c r="AD38">
        <f>IF(Attempts[[#This Row],[final_result]]="logged in",1,0)</f>
        <v>0</v>
      </c>
      <c r="AE38">
        <f>IF(Attempts[[#This Row],[is_impostor]]=0,1,0)</f>
        <v>0</v>
      </c>
      <c r="AF38">
        <f>IF(Attempts[[#This Row],[is_impostor]]=1,1,0)</f>
        <v>1</v>
      </c>
      <c r="AG38">
        <f>IF(AND(Attempts[[#This Row],[keystroke_pass]]=1,Attempts[[#This Row],[graphical_pass]]=1,Attempts[[#This Row],[mouse_pass]]=1),1,0)</f>
        <v>0</v>
      </c>
      <c r="AH38">
        <f>IF(AND(Attempts[[#This Row],[keystroke_pass]]=1, OR(Attempts[[#This Row],[graphical_pass]]=1, Attempts[[#This Row],[mouse_pass]]=1)), 1, 0)</f>
        <v>0</v>
      </c>
      <c r="AI38" t="str">
        <f>IF(Attempts[[#This Row],[final_result]]="logged in",Attempts[[#This Row],[login_attempt_number]],"")</f>
        <v/>
      </c>
      <c r="AJ38">
        <f>IF(AND(Attempts[[#This Row],[is_impostor]]=0,Attempts[[#This Row],[final_result]]="logged in"),1,0)</f>
        <v>0</v>
      </c>
      <c r="AK38">
        <f>IF(AND(Attempts[[#This Row],[is_impostor]]=0,Attempts[[#This Row],[final_result]]="logged in",Attempts[[#This Row],[tries_to_success]]&gt;1),1,0)</f>
        <v>0</v>
      </c>
      <c r="AL38">
        <f>IF(Attempts[[#This Row],[prompt_match]]=0,1,0)</f>
        <v>0</v>
      </c>
    </row>
    <row r="39" spans="1:38" s="15" customFormat="1">
      <c r="A39" s="15">
        <f t="shared" si="3"/>
        <v>38</v>
      </c>
      <c r="B39" s="15" t="s">
        <v>35</v>
      </c>
      <c r="C39" s="15">
        <v>1</v>
      </c>
      <c r="D39" s="15" t="s">
        <v>27</v>
      </c>
      <c r="E39" s="15" t="s">
        <v>27</v>
      </c>
      <c r="F39" s="15" t="s">
        <v>28</v>
      </c>
      <c r="G39" s="15" t="s">
        <v>27</v>
      </c>
      <c r="H39" s="15">
        <v>21.887</v>
      </c>
      <c r="I39" s="15">
        <v>10.685</v>
      </c>
      <c r="J39" s="15">
        <f t="shared" si="2"/>
        <v>7.995000000000001</v>
      </c>
      <c r="K39" s="15">
        <v>3.2069999999999999</v>
      </c>
      <c r="L39" s="15">
        <v>3</v>
      </c>
      <c r="M39" s="15">
        <v>0</v>
      </c>
      <c r="N39" s="15">
        <v>1</v>
      </c>
      <c r="O39" s="15" t="s">
        <v>36</v>
      </c>
      <c r="P39" s="15" t="s">
        <v>37</v>
      </c>
      <c r="Q39" s="15">
        <v>0.376</v>
      </c>
      <c r="R39" s="15">
        <v>0.41499999999999998</v>
      </c>
      <c r="S39" s="15">
        <v>0.72699999999999998</v>
      </c>
      <c r="T39" s="15">
        <v>2.9369999999999998</v>
      </c>
      <c r="U39" s="15">
        <v>6.1829999999999998</v>
      </c>
      <c r="V39" s="15">
        <v>0.254</v>
      </c>
      <c r="AA39" s="15">
        <f>IF(Attempts[[#This Row],[keystroke_result]]="logged in",1,0)</f>
        <v>1</v>
      </c>
      <c r="AB39" s="15">
        <f>IF(Attempts[[#This Row],[graphical_result]]="logged in",1,0)</f>
        <v>1</v>
      </c>
      <c r="AC39" s="15">
        <f>IF(Attempts[[#This Row],[mouse_result]]="logged in",1,0)</f>
        <v>0</v>
      </c>
      <c r="AD39" s="15">
        <f>IF(Attempts[[#This Row],[final_result]]="logged in",1,0)</f>
        <v>1</v>
      </c>
      <c r="AE39" s="15">
        <f>IF(Attempts[[#This Row],[is_impostor]]=0,1,0)</f>
        <v>0</v>
      </c>
      <c r="AF39" s="15">
        <f>IF(Attempts[[#This Row],[is_impostor]]=1,1,0)</f>
        <v>1</v>
      </c>
      <c r="AG39" s="15">
        <f>IF(AND(Attempts[[#This Row],[keystroke_pass]]=1,Attempts[[#This Row],[graphical_pass]]=1,Attempts[[#This Row],[mouse_pass]]=1),1,0)</f>
        <v>0</v>
      </c>
      <c r="AH39" s="15">
        <f>IF(AND(Attempts[[#This Row],[keystroke_pass]]=1, OR(Attempts[[#This Row],[graphical_pass]]=1, Attempts[[#This Row],[mouse_pass]]=1)), 1, 0)</f>
        <v>1</v>
      </c>
      <c r="AI39" s="15">
        <f>IF(Attempts[[#This Row],[final_result]]="logged in",Attempts[[#This Row],[login_attempt_number]],"")</f>
        <v>3</v>
      </c>
      <c r="AJ39" s="15">
        <f>IF(AND(Attempts[[#This Row],[is_impostor]]=0,Attempts[[#This Row],[final_result]]="logged in"),1,0)</f>
        <v>0</v>
      </c>
      <c r="AK39" s="15">
        <f>IF(AND(Attempts[[#This Row],[is_impostor]]=0,Attempts[[#This Row],[final_result]]="logged in",Attempts[[#This Row],[tries_to_success]]&gt;1),1,0)</f>
        <v>0</v>
      </c>
      <c r="AL39" s="15">
        <f>IF(Attempts[[#This Row],[prompt_match]]=0,1,0)</f>
        <v>0</v>
      </c>
    </row>
    <row r="40" spans="1:38">
      <c r="A40">
        <f t="shared" si="3"/>
        <v>39</v>
      </c>
      <c r="B40" t="s">
        <v>35</v>
      </c>
      <c r="C40">
        <v>1</v>
      </c>
      <c r="D40" t="s">
        <v>28</v>
      </c>
      <c r="E40" t="s">
        <v>28</v>
      </c>
      <c r="F40" t="s">
        <v>28</v>
      </c>
      <c r="G40" t="s">
        <v>28</v>
      </c>
      <c r="H40">
        <v>23.218</v>
      </c>
      <c r="I40">
        <v>9.8049999999999997</v>
      </c>
      <c r="J40">
        <f t="shared" si="2"/>
        <v>10.137</v>
      </c>
      <c r="K40">
        <v>3.2759999999999998</v>
      </c>
      <c r="L40">
        <v>2</v>
      </c>
      <c r="M40">
        <v>0</v>
      </c>
      <c r="N40">
        <v>1</v>
      </c>
      <c r="Q40">
        <v>0.46700000000000003</v>
      </c>
      <c r="R40">
        <v>0.67100000000000004</v>
      </c>
      <c r="S40">
        <v>0.68100000000000005</v>
      </c>
      <c r="T40">
        <v>2.669</v>
      </c>
      <c r="U40">
        <v>4.5339999999999998</v>
      </c>
      <c r="V40">
        <v>0.27300000000000002</v>
      </c>
      <c r="AA40">
        <f>IF(Attempts[[#This Row],[keystroke_result]]="logged in",1,0)</f>
        <v>0</v>
      </c>
      <c r="AB40">
        <f>IF(Attempts[[#This Row],[graphical_result]]="logged in",1,0)</f>
        <v>0</v>
      </c>
      <c r="AC40">
        <f>IF(Attempts[[#This Row],[mouse_result]]="logged in",1,0)</f>
        <v>0</v>
      </c>
      <c r="AD40">
        <f>IF(Attempts[[#This Row],[final_result]]="logged in",1,0)</f>
        <v>0</v>
      </c>
      <c r="AE40">
        <f>IF(Attempts[[#This Row],[is_impostor]]=0,1,0)</f>
        <v>0</v>
      </c>
      <c r="AF40">
        <f>IF(Attempts[[#This Row],[is_impostor]]=1,1,0)</f>
        <v>1</v>
      </c>
      <c r="AG40">
        <f>IF(AND(Attempts[[#This Row],[keystroke_pass]]=1,Attempts[[#This Row],[graphical_pass]]=1,Attempts[[#This Row],[mouse_pass]]=1),1,0)</f>
        <v>0</v>
      </c>
      <c r="AH40">
        <f>IF(AND(Attempts[[#This Row],[keystroke_pass]]=1, OR(Attempts[[#This Row],[graphical_pass]]=1, Attempts[[#This Row],[mouse_pass]]=1)), 1, 0)</f>
        <v>0</v>
      </c>
      <c r="AI40" t="str">
        <f>IF(Attempts[[#This Row],[final_result]]="logged in",Attempts[[#This Row],[login_attempt_number]],"")</f>
        <v/>
      </c>
      <c r="AJ40">
        <f>IF(AND(Attempts[[#This Row],[is_impostor]]=0,Attempts[[#This Row],[final_result]]="logged in"),1,0)</f>
        <v>0</v>
      </c>
      <c r="AK40">
        <f>IF(AND(Attempts[[#This Row],[is_impostor]]=0,Attempts[[#This Row],[final_result]]="logged in",Attempts[[#This Row],[tries_to_success]]&gt;1),1,0)</f>
        <v>0</v>
      </c>
      <c r="AL40">
        <f>IF(Attempts[[#This Row],[prompt_match]]=0,1,0)</f>
        <v>0</v>
      </c>
    </row>
    <row r="41" spans="1:38">
      <c r="A41">
        <f t="shared" si="3"/>
        <v>40</v>
      </c>
      <c r="B41" t="s">
        <v>35</v>
      </c>
      <c r="C41">
        <v>1</v>
      </c>
      <c r="D41" t="s">
        <v>28</v>
      </c>
      <c r="E41" t="s">
        <v>27</v>
      </c>
      <c r="F41" t="s">
        <v>28</v>
      </c>
      <c r="G41" t="s">
        <v>28</v>
      </c>
      <c r="H41">
        <v>17.030999999999999</v>
      </c>
      <c r="I41">
        <v>8.173</v>
      </c>
      <c r="J41">
        <f t="shared" si="2"/>
        <v>5.6549999999999994</v>
      </c>
      <c r="K41">
        <v>3.2029999999999998</v>
      </c>
      <c r="L41">
        <v>1</v>
      </c>
      <c r="M41">
        <v>0</v>
      </c>
      <c r="N41">
        <v>1</v>
      </c>
      <c r="O41" t="s">
        <v>36</v>
      </c>
      <c r="P41" t="s">
        <v>37</v>
      </c>
      <c r="Q41">
        <v>0.56299999999999994</v>
      </c>
      <c r="R41">
        <v>0.71699999999999997</v>
      </c>
      <c r="S41">
        <v>0.64</v>
      </c>
      <c r="T41">
        <v>2.883</v>
      </c>
      <c r="U41">
        <v>5.0309999999999997</v>
      </c>
      <c r="V41">
        <v>0.25800000000000001</v>
      </c>
      <c r="AA41">
        <f>IF(Attempts[[#This Row],[keystroke_result]]="logged in",1,0)</f>
        <v>0</v>
      </c>
      <c r="AB41">
        <f>IF(Attempts[[#This Row],[graphical_result]]="logged in",1,0)</f>
        <v>1</v>
      </c>
      <c r="AC41">
        <f>IF(Attempts[[#This Row],[mouse_result]]="logged in",1,0)</f>
        <v>0</v>
      </c>
      <c r="AD41">
        <f>IF(Attempts[[#This Row],[final_result]]="logged in",1,0)</f>
        <v>0</v>
      </c>
      <c r="AE41">
        <f>IF(Attempts[[#This Row],[is_impostor]]=0,1,0)</f>
        <v>0</v>
      </c>
      <c r="AF41">
        <f>IF(Attempts[[#This Row],[is_impostor]]=1,1,0)</f>
        <v>1</v>
      </c>
      <c r="AG41">
        <f>IF(AND(Attempts[[#This Row],[keystroke_pass]]=1,Attempts[[#This Row],[graphical_pass]]=1,Attempts[[#This Row],[mouse_pass]]=1),1,0)</f>
        <v>0</v>
      </c>
      <c r="AH41">
        <f>IF(AND(Attempts[[#This Row],[keystroke_pass]]=1, OR(Attempts[[#This Row],[graphical_pass]]=1, Attempts[[#This Row],[mouse_pass]]=1)), 1, 0)</f>
        <v>0</v>
      </c>
      <c r="AI41" t="str">
        <f>IF(Attempts[[#This Row],[final_result]]="logged in",Attempts[[#This Row],[login_attempt_number]],"")</f>
        <v/>
      </c>
      <c r="AJ41">
        <f>IF(AND(Attempts[[#This Row],[is_impostor]]=0,Attempts[[#This Row],[final_result]]="logged in"),1,0)</f>
        <v>0</v>
      </c>
      <c r="AK41">
        <f>IF(AND(Attempts[[#This Row],[is_impostor]]=0,Attempts[[#This Row],[final_result]]="logged in",Attempts[[#This Row],[tries_to_success]]&gt;1),1,0)</f>
        <v>0</v>
      </c>
      <c r="AL41">
        <f>IF(Attempts[[#This Row],[prompt_match]]=0,1,0)</f>
        <v>0</v>
      </c>
    </row>
    <row r="42" spans="1:38">
      <c r="A42">
        <f t="shared" si="3"/>
        <v>41</v>
      </c>
      <c r="B42" t="s">
        <v>38</v>
      </c>
      <c r="C42">
        <v>1</v>
      </c>
      <c r="D42" t="s">
        <v>28</v>
      </c>
      <c r="E42" t="s">
        <v>28</v>
      </c>
      <c r="F42" t="s">
        <v>28</v>
      </c>
      <c r="G42" t="s">
        <v>28</v>
      </c>
      <c r="H42">
        <v>15.403</v>
      </c>
      <c r="I42">
        <v>0</v>
      </c>
      <c r="J42">
        <f t="shared" si="2"/>
        <v>11.355</v>
      </c>
      <c r="K42">
        <v>4.048</v>
      </c>
      <c r="L42">
        <v>3</v>
      </c>
      <c r="M42">
        <v>0</v>
      </c>
      <c r="N42">
        <v>1</v>
      </c>
      <c r="Q42">
        <v>0.86699999999999999</v>
      </c>
      <c r="R42">
        <v>2.2160000000000002</v>
      </c>
      <c r="S42">
        <v>0.53600000000000003</v>
      </c>
      <c r="T42">
        <v>3.5339999999999998</v>
      </c>
      <c r="U42">
        <v>4.1849999999999996</v>
      </c>
      <c r="V42">
        <v>0.221</v>
      </c>
      <c r="AA42">
        <f>IF(Attempts[[#This Row],[keystroke_result]]="logged in",1,0)</f>
        <v>0</v>
      </c>
      <c r="AB42">
        <f>IF(Attempts[[#This Row],[graphical_result]]="logged in",1,0)</f>
        <v>0</v>
      </c>
      <c r="AC42">
        <f>IF(Attempts[[#This Row],[mouse_result]]="logged in",1,0)</f>
        <v>0</v>
      </c>
      <c r="AD42">
        <f>IF(Attempts[[#This Row],[final_result]]="logged in",1,0)</f>
        <v>0</v>
      </c>
      <c r="AE42">
        <f>IF(Attempts[[#This Row],[is_impostor]]=0,1,0)</f>
        <v>0</v>
      </c>
      <c r="AF42">
        <f>IF(Attempts[[#This Row],[is_impostor]]=1,1,0)</f>
        <v>1</v>
      </c>
      <c r="AG42">
        <f>IF(AND(Attempts[[#This Row],[keystroke_pass]]=1,Attempts[[#This Row],[graphical_pass]]=1,Attempts[[#This Row],[mouse_pass]]=1),1,0)</f>
        <v>0</v>
      </c>
      <c r="AH42">
        <f>IF(AND(Attempts[[#This Row],[keystroke_pass]]=1, OR(Attempts[[#This Row],[graphical_pass]]=1, Attempts[[#This Row],[mouse_pass]]=1)), 1, 0)</f>
        <v>0</v>
      </c>
      <c r="AI42" t="str">
        <f>IF(Attempts[[#This Row],[final_result]]="logged in",Attempts[[#This Row],[login_attempt_number]],"")</f>
        <v/>
      </c>
      <c r="AJ42">
        <f>IF(AND(Attempts[[#This Row],[is_impostor]]=0,Attempts[[#This Row],[final_result]]="logged in"),1,0)</f>
        <v>0</v>
      </c>
      <c r="AK42">
        <f>IF(AND(Attempts[[#This Row],[is_impostor]]=0,Attempts[[#This Row],[final_result]]="logged in",Attempts[[#This Row],[tries_to_success]]&gt;1),1,0)</f>
        <v>0</v>
      </c>
      <c r="AL42">
        <f>IF(Attempts[[#This Row],[prompt_match]]=0,1,0)</f>
        <v>0</v>
      </c>
    </row>
    <row r="43" spans="1:38">
      <c r="A43">
        <f t="shared" si="3"/>
        <v>42</v>
      </c>
      <c r="B43" t="s">
        <v>38</v>
      </c>
      <c r="C43">
        <v>1</v>
      </c>
      <c r="D43" t="s">
        <v>28</v>
      </c>
      <c r="E43" t="s">
        <v>28</v>
      </c>
      <c r="F43" t="s">
        <v>28</v>
      </c>
      <c r="G43" t="s">
        <v>28</v>
      </c>
      <c r="H43">
        <v>18.608000000000001</v>
      </c>
      <c r="I43">
        <v>6.359</v>
      </c>
      <c r="J43">
        <f t="shared" si="2"/>
        <v>8.2349999999999994</v>
      </c>
      <c r="K43">
        <v>4.0140000000000002</v>
      </c>
      <c r="L43">
        <v>2</v>
      </c>
      <c r="M43">
        <v>0</v>
      </c>
      <c r="N43">
        <v>1</v>
      </c>
      <c r="Q43">
        <v>0.49</v>
      </c>
      <c r="R43">
        <v>0.53</v>
      </c>
      <c r="S43">
        <v>0.67100000000000004</v>
      </c>
      <c r="T43">
        <v>3.7669999999999999</v>
      </c>
      <c r="U43">
        <v>5.8179999999999996</v>
      </c>
      <c r="V43">
        <v>0.21</v>
      </c>
      <c r="AA43">
        <f>IF(Attempts[[#This Row],[keystroke_result]]="logged in",1,0)</f>
        <v>0</v>
      </c>
      <c r="AB43">
        <f>IF(Attempts[[#This Row],[graphical_result]]="logged in",1,0)</f>
        <v>0</v>
      </c>
      <c r="AC43">
        <f>IF(Attempts[[#This Row],[mouse_result]]="logged in",1,0)</f>
        <v>0</v>
      </c>
      <c r="AD43">
        <f>IF(Attempts[[#This Row],[final_result]]="logged in",1,0)</f>
        <v>0</v>
      </c>
      <c r="AE43">
        <f>IF(Attempts[[#This Row],[is_impostor]]=0,1,0)</f>
        <v>0</v>
      </c>
      <c r="AF43">
        <f>IF(Attempts[[#This Row],[is_impostor]]=1,1,0)</f>
        <v>1</v>
      </c>
      <c r="AG43">
        <f>IF(AND(Attempts[[#This Row],[keystroke_pass]]=1,Attempts[[#This Row],[graphical_pass]]=1,Attempts[[#This Row],[mouse_pass]]=1),1,0)</f>
        <v>0</v>
      </c>
      <c r="AH43">
        <f>IF(AND(Attempts[[#This Row],[keystroke_pass]]=1, OR(Attempts[[#This Row],[graphical_pass]]=1, Attempts[[#This Row],[mouse_pass]]=1)), 1, 0)</f>
        <v>0</v>
      </c>
      <c r="AI43" t="str">
        <f>IF(Attempts[[#This Row],[final_result]]="logged in",Attempts[[#This Row],[login_attempt_number]],"")</f>
        <v/>
      </c>
      <c r="AJ43">
        <f>IF(AND(Attempts[[#This Row],[is_impostor]]=0,Attempts[[#This Row],[final_result]]="logged in"),1,0)</f>
        <v>0</v>
      </c>
      <c r="AK43">
        <f>IF(AND(Attempts[[#This Row],[is_impostor]]=0,Attempts[[#This Row],[final_result]]="logged in",Attempts[[#This Row],[tries_to_success]]&gt;1),1,0)</f>
        <v>0</v>
      </c>
      <c r="AL43">
        <f>IF(Attempts[[#This Row],[prompt_match]]=0,1,0)</f>
        <v>0</v>
      </c>
    </row>
    <row r="44" spans="1:38">
      <c r="A44">
        <f t="shared" si="3"/>
        <v>43</v>
      </c>
      <c r="B44" t="s">
        <v>38</v>
      </c>
      <c r="C44">
        <v>1</v>
      </c>
      <c r="D44" t="s">
        <v>28</v>
      </c>
      <c r="E44" t="s">
        <v>28</v>
      </c>
      <c r="F44" t="s">
        <v>28</v>
      </c>
      <c r="G44" t="s">
        <v>28</v>
      </c>
      <c r="H44">
        <v>19.63</v>
      </c>
      <c r="I44">
        <v>11.31</v>
      </c>
      <c r="J44">
        <f t="shared" si="2"/>
        <v>4.7529999999999983</v>
      </c>
      <c r="K44">
        <v>3.5670000000000002</v>
      </c>
      <c r="L44">
        <v>3</v>
      </c>
      <c r="M44">
        <v>0</v>
      </c>
      <c r="N44">
        <v>1</v>
      </c>
      <c r="Q44">
        <v>0.34799999999999998</v>
      </c>
      <c r="R44">
        <v>0.76100000000000001</v>
      </c>
      <c r="S44">
        <v>0.74199999999999999</v>
      </c>
      <c r="T44">
        <v>3.6469999999999998</v>
      </c>
      <c r="U44">
        <v>5.6319999999999997</v>
      </c>
      <c r="V44">
        <v>0.215</v>
      </c>
      <c r="AA44">
        <f>IF(Attempts[[#This Row],[keystroke_result]]="logged in",1,0)</f>
        <v>0</v>
      </c>
      <c r="AB44">
        <f>IF(Attempts[[#This Row],[graphical_result]]="logged in",1,0)</f>
        <v>0</v>
      </c>
      <c r="AC44">
        <f>IF(Attempts[[#This Row],[mouse_result]]="logged in",1,0)</f>
        <v>0</v>
      </c>
      <c r="AD44">
        <f>IF(Attempts[[#This Row],[final_result]]="logged in",1,0)</f>
        <v>0</v>
      </c>
      <c r="AE44">
        <f>IF(Attempts[[#This Row],[is_impostor]]=0,1,0)</f>
        <v>0</v>
      </c>
      <c r="AF44">
        <f>IF(Attempts[[#This Row],[is_impostor]]=1,1,0)</f>
        <v>1</v>
      </c>
      <c r="AG44">
        <f>IF(AND(Attempts[[#This Row],[keystroke_pass]]=1,Attempts[[#This Row],[graphical_pass]]=1,Attempts[[#This Row],[mouse_pass]]=1),1,0)</f>
        <v>0</v>
      </c>
      <c r="AH44">
        <f>IF(AND(Attempts[[#This Row],[keystroke_pass]]=1, OR(Attempts[[#This Row],[graphical_pass]]=1, Attempts[[#This Row],[mouse_pass]]=1)), 1, 0)</f>
        <v>0</v>
      </c>
      <c r="AI44" t="str">
        <f>IF(Attempts[[#This Row],[final_result]]="logged in",Attempts[[#This Row],[login_attempt_number]],"")</f>
        <v/>
      </c>
      <c r="AJ44">
        <f>IF(AND(Attempts[[#This Row],[is_impostor]]=0,Attempts[[#This Row],[final_result]]="logged in"),1,0)</f>
        <v>0</v>
      </c>
      <c r="AK44">
        <f>IF(AND(Attempts[[#This Row],[is_impostor]]=0,Attempts[[#This Row],[final_result]]="logged in",Attempts[[#This Row],[tries_to_success]]&gt;1),1,0)</f>
        <v>0</v>
      </c>
      <c r="AL44">
        <f>IF(Attempts[[#This Row],[prompt_match]]=0,1,0)</f>
        <v>0</v>
      </c>
    </row>
    <row r="45" spans="1:38">
      <c r="A45">
        <f t="shared" si="3"/>
        <v>44</v>
      </c>
      <c r="B45" t="s">
        <v>38</v>
      </c>
      <c r="C45">
        <v>1</v>
      </c>
      <c r="D45" t="s">
        <v>28</v>
      </c>
      <c r="E45" t="s">
        <v>28</v>
      </c>
      <c r="F45" t="s">
        <v>28</v>
      </c>
      <c r="G45" t="s">
        <v>28</v>
      </c>
      <c r="H45">
        <v>19.34</v>
      </c>
      <c r="I45">
        <v>9.4700000000000006</v>
      </c>
      <c r="J45">
        <f t="shared" si="2"/>
        <v>5.6399999999999988</v>
      </c>
      <c r="K45">
        <v>4.2300000000000004</v>
      </c>
      <c r="L45">
        <v>2</v>
      </c>
      <c r="M45">
        <v>0</v>
      </c>
      <c r="N45">
        <v>1</v>
      </c>
      <c r="Q45">
        <v>0.41099999999999998</v>
      </c>
      <c r="R45">
        <v>0.55200000000000005</v>
      </c>
      <c r="S45">
        <v>0.70899999999999996</v>
      </c>
      <c r="T45">
        <v>3.2440000000000002</v>
      </c>
      <c r="U45">
        <v>4.976</v>
      </c>
      <c r="V45">
        <v>0.23599999999999999</v>
      </c>
      <c r="AA45">
        <f>IF(Attempts[[#This Row],[keystroke_result]]="logged in",1,0)</f>
        <v>0</v>
      </c>
      <c r="AB45">
        <f>IF(Attempts[[#This Row],[graphical_result]]="logged in",1,0)</f>
        <v>0</v>
      </c>
      <c r="AC45">
        <f>IF(Attempts[[#This Row],[mouse_result]]="logged in",1,0)</f>
        <v>0</v>
      </c>
      <c r="AD45">
        <f>IF(Attempts[[#This Row],[final_result]]="logged in",1,0)</f>
        <v>0</v>
      </c>
      <c r="AE45">
        <f>IF(Attempts[[#This Row],[is_impostor]]=0,1,0)</f>
        <v>0</v>
      </c>
      <c r="AF45">
        <f>IF(Attempts[[#This Row],[is_impostor]]=1,1,0)</f>
        <v>1</v>
      </c>
      <c r="AG45">
        <f>IF(AND(Attempts[[#This Row],[keystroke_pass]]=1,Attempts[[#This Row],[graphical_pass]]=1,Attempts[[#This Row],[mouse_pass]]=1),1,0)</f>
        <v>0</v>
      </c>
      <c r="AH45">
        <f>IF(AND(Attempts[[#This Row],[keystroke_pass]]=1, OR(Attempts[[#This Row],[graphical_pass]]=1, Attempts[[#This Row],[mouse_pass]]=1)), 1, 0)</f>
        <v>0</v>
      </c>
      <c r="AI45" t="str">
        <f>IF(Attempts[[#This Row],[final_result]]="logged in",Attempts[[#This Row],[login_attempt_number]],"")</f>
        <v/>
      </c>
      <c r="AJ45">
        <f>IF(AND(Attempts[[#This Row],[is_impostor]]=0,Attempts[[#This Row],[final_result]]="logged in"),1,0)</f>
        <v>0</v>
      </c>
      <c r="AK45">
        <f>IF(AND(Attempts[[#This Row],[is_impostor]]=0,Attempts[[#This Row],[final_result]]="logged in",Attempts[[#This Row],[tries_to_success]]&gt;1),1,0)</f>
        <v>0</v>
      </c>
      <c r="AL45">
        <f>IF(Attempts[[#This Row],[prompt_match]]=0,1,0)</f>
        <v>0</v>
      </c>
    </row>
    <row r="46" spans="1:38">
      <c r="A46">
        <f t="shared" si="3"/>
        <v>45</v>
      </c>
      <c r="B46" t="s">
        <v>38</v>
      </c>
      <c r="C46">
        <v>1</v>
      </c>
      <c r="D46" t="s">
        <v>28</v>
      </c>
      <c r="E46" t="s">
        <v>28</v>
      </c>
      <c r="F46" t="s">
        <v>28</v>
      </c>
      <c r="G46" t="s">
        <v>28</v>
      </c>
      <c r="H46">
        <v>17.346</v>
      </c>
      <c r="I46">
        <v>8.1549999999999994</v>
      </c>
      <c r="J46">
        <f t="shared" si="2"/>
        <v>5.1620000000000008</v>
      </c>
      <c r="K46">
        <v>4.0289999999999999</v>
      </c>
      <c r="L46">
        <v>1</v>
      </c>
      <c r="M46">
        <v>0</v>
      </c>
      <c r="N46">
        <v>1</v>
      </c>
      <c r="Q46">
        <v>0.54</v>
      </c>
      <c r="R46">
        <v>0.68799999999999994</v>
      </c>
      <c r="S46">
        <v>0.64900000000000002</v>
      </c>
      <c r="T46">
        <v>3.6480000000000001</v>
      </c>
      <c r="U46">
        <v>4.9089999999999998</v>
      </c>
      <c r="V46">
        <v>0.215</v>
      </c>
      <c r="AA46">
        <f>IF(Attempts[[#This Row],[keystroke_result]]="logged in",1,0)</f>
        <v>0</v>
      </c>
      <c r="AB46">
        <f>IF(Attempts[[#This Row],[graphical_result]]="logged in",1,0)</f>
        <v>0</v>
      </c>
      <c r="AC46">
        <f>IF(Attempts[[#This Row],[mouse_result]]="logged in",1,0)</f>
        <v>0</v>
      </c>
      <c r="AD46">
        <f>IF(Attempts[[#This Row],[final_result]]="logged in",1,0)</f>
        <v>0</v>
      </c>
      <c r="AE46">
        <f>IF(Attempts[[#This Row],[is_impostor]]=0,1,0)</f>
        <v>0</v>
      </c>
      <c r="AF46">
        <f>IF(Attempts[[#This Row],[is_impostor]]=1,1,0)</f>
        <v>1</v>
      </c>
      <c r="AG46">
        <f>IF(AND(Attempts[[#This Row],[keystroke_pass]]=1,Attempts[[#This Row],[graphical_pass]]=1,Attempts[[#This Row],[mouse_pass]]=1),1,0)</f>
        <v>0</v>
      </c>
      <c r="AH46">
        <f>IF(AND(Attempts[[#This Row],[keystroke_pass]]=1, OR(Attempts[[#This Row],[graphical_pass]]=1, Attempts[[#This Row],[mouse_pass]]=1)), 1, 0)</f>
        <v>0</v>
      </c>
      <c r="AI46" t="str">
        <f>IF(Attempts[[#This Row],[final_result]]="logged in",Attempts[[#This Row],[login_attempt_number]],"")</f>
        <v/>
      </c>
      <c r="AJ46">
        <f>IF(AND(Attempts[[#This Row],[is_impostor]]=0,Attempts[[#This Row],[final_result]]="logged in"),1,0)</f>
        <v>0</v>
      </c>
      <c r="AK46">
        <f>IF(AND(Attempts[[#This Row],[is_impostor]]=0,Attempts[[#This Row],[final_result]]="logged in",Attempts[[#This Row],[tries_to_success]]&gt;1),1,0)</f>
        <v>0</v>
      </c>
      <c r="AL46">
        <f>IF(Attempts[[#This Row],[prompt_match]]=0,1,0)</f>
        <v>0</v>
      </c>
    </row>
    <row r="47" spans="1:38">
      <c r="A47">
        <f t="shared" si="3"/>
        <v>46</v>
      </c>
      <c r="B47" t="s">
        <v>38</v>
      </c>
      <c r="C47">
        <v>1</v>
      </c>
      <c r="D47" t="s">
        <v>28</v>
      </c>
      <c r="E47" t="s">
        <v>28</v>
      </c>
      <c r="F47" t="s">
        <v>28</v>
      </c>
      <c r="G47" t="s">
        <v>28</v>
      </c>
      <c r="H47">
        <v>17.286999999999999</v>
      </c>
      <c r="I47">
        <v>9.4380000000000006</v>
      </c>
      <c r="J47">
        <f t="shared" si="2"/>
        <v>3.1109999999999971</v>
      </c>
      <c r="K47">
        <v>4.7380000000000004</v>
      </c>
      <c r="L47">
        <v>3</v>
      </c>
      <c r="M47">
        <v>0</v>
      </c>
      <c r="N47">
        <v>1</v>
      </c>
      <c r="Q47">
        <v>1.2629999999999999</v>
      </c>
      <c r="R47">
        <v>3.51</v>
      </c>
      <c r="S47">
        <v>0.442</v>
      </c>
      <c r="T47">
        <v>3.1960000000000002</v>
      </c>
      <c r="U47">
        <v>4.1059999999999999</v>
      </c>
      <c r="V47">
        <v>0.23799999999999999</v>
      </c>
      <c r="AA47">
        <f>IF(Attempts[[#This Row],[keystroke_result]]="logged in",1,0)</f>
        <v>0</v>
      </c>
      <c r="AB47">
        <f>IF(Attempts[[#This Row],[graphical_result]]="logged in",1,0)</f>
        <v>0</v>
      </c>
      <c r="AC47">
        <f>IF(Attempts[[#This Row],[mouse_result]]="logged in",1,0)</f>
        <v>0</v>
      </c>
      <c r="AD47">
        <f>IF(Attempts[[#This Row],[final_result]]="logged in",1,0)</f>
        <v>0</v>
      </c>
      <c r="AE47">
        <f>IF(Attempts[[#This Row],[is_impostor]]=0,1,0)</f>
        <v>0</v>
      </c>
      <c r="AF47">
        <f>IF(Attempts[[#This Row],[is_impostor]]=1,1,0)</f>
        <v>1</v>
      </c>
      <c r="AG47">
        <f>IF(AND(Attempts[[#This Row],[keystroke_pass]]=1,Attempts[[#This Row],[graphical_pass]]=1,Attempts[[#This Row],[mouse_pass]]=1),1,0)</f>
        <v>0</v>
      </c>
      <c r="AH47">
        <f>IF(AND(Attempts[[#This Row],[keystroke_pass]]=1, OR(Attempts[[#This Row],[graphical_pass]]=1, Attempts[[#This Row],[mouse_pass]]=1)), 1, 0)</f>
        <v>0</v>
      </c>
      <c r="AI47" t="str">
        <f>IF(Attempts[[#This Row],[final_result]]="logged in",Attempts[[#This Row],[login_attempt_number]],"")</f>
        <v/>
      </c>
      <c r="AJ47">
        <f>IF(AND(Attempts[[#This Row],[is_impostor]]=0,Attempts[[#This Row],[final_result]]="logged in"),1,0)</f>
        <v>0</v>
      </c>
      <c r="AK47">
        <f>IF(AND(Attempts[[#This Row],[is_impostor]]=0,Attempts[[#This Row],[final_result]]="logged in",Attempts[[#This Row],[tries_to_success]]&gt;1),1,0)</f>
        <v>0</v>
      </c>
      <c r="AL47">
        <f>IF(Attempts[[#This Row],[prompt_match]]=0,1,0)</f>
        <v>0</v>
      </c>
    </row>
    <row r="48" spans="1:38">
      <c r="A48">
        <f t="shared" si="3"/>
        <v>47</v>
      </c>
      <c r="B48" t="s">
        <v>38</v>
      </c>
      <c r="C48">
        <v>1</v>
      </c>
      <c r="D48" t="s">
        <v>28</v>
      </c>
      <c r="E48" t="s">
        <v>27</v>
      </c>
      <c r="F48" t="s">
        <v>28</v>
      </c>
      <c r="G48" t="s">
        <v>28</v>
      </c>
      <c r="H48">
        <v>19.315000000000001</v>
      </c>
      <c r="I48">
        <v>8.5570000000000004</v>
      </c>
      <c r="J48">
        <f t="shared" si="2"/>
        <v>4.8560000000000016</v>
      </c>
      <c r="K48">
        <v>5.9020000000000001</v>
      </c>
      <c r="L48">
        <v>2</v>
      </c>
      <c r="M48">
        <v>0</v>
      </c>
      <c r="N48">
        <v>1</v>
      </c>
      <c r="O48" t="s">
        <v>29</v>
      </c>
      <c r="P48" t="s">
        <v>30</v>
      </c>
      <c r="Q48">
        <v>0.52</v>
      </c>
      <c r="R48">
        <v>0.629</v>
      </c>
      <c r="S48">
        <v>0.65800000000000003</v>
      </c>
      <c r="T48">
        <v>2.4220000000000002</v>
      </c>
      <c r="U48">
        <v>3.18</v>
      </c>
      <c r="V48">
        <v>0.29199999999999998</v>
      </c>
      <c r="AA48">
        <f>IF(Attempts[[#This Row],[keystroke_result]]="logged in",1,0)</f>
        <v>0</v>
      </c>
      <c r="AB48">
        <f>IF(Attempts[[#This Row],[graphical_result]]="logged in",1,0)</f>
        <v>1</v>
      </c>
      <c r="AC48">
        <f>IF(Attempts[[#This Row],[mouse_result]]="logged in",1,0)</f>
        <v>0</v>
      </c>
      <c r="AD48">
        <f>IF(Attempts[[#This Row],[final_result]]="logged in",1,0)</f>
        <v>0</v>
      </c>
      <c r="AE48">
        <f>IF(Attempts[[#This Row],[is_impostor]]=0,1,0)</f>
        <v>0</v>
      </c>
      <c r="AF48">
        <f>IF(Attempts[[#This Row],[is_impostor]]=1,1,0)</f>
        <v>1</v>
      </c>
      <c r="AG48">
        <f>IF(AND(Attempts[[#This Row],[keystroke_pass]]=1,Attempts[[#This Row],[graphical_pass]]=1,Attempts[[#This Row],[mouse_pass]]=1),1,0)</f>
        <v>0</v>
      </c>
      <c r="AH48">
        <f>IF(AND(Attempts[[#This Row],[keystroke_pass]]=1, OR(Attempts[[#This Row],[graphical_pass]]=1, Attempts[[#This Row],[mouse_pass]]=1)), 1, 0)</f>
        <v>0</v>
      </c>
      <c r="AI48" t="str">
        <f>IF(Attempts[[#This Row],[final_result]]="logged in",Attempts[[#This Row],[login_attempt_number]],"")</f>
        <v/>
      </c>
      <c r="AJ48">
        <f>IF(AND(Attempts[[#This Row],[is_impostor]]=0,Attempts[[#This Row],[final_result]]="logged in"),1,0)</f>
        <v>0</v>
      </c>
      <c r="AK48">
        <f>IF(AND(Attempts[[#This Row],[is_impostor]]=0,Attempts[[#This Row],[final_result]]="logged in",Attempts[[#This Row],[tries_to_success]]&gt;1),1,0)</f>
        <v>0</v>
      </c>
      <c r="AL48">
        <f>IF(Attempts[[#This Row],[prompt_match]]=0,1,0)</f>
        <v>0</v>
      </c>
    </row>
    <row r="49" spans="1:38">
      <c r="A49">
        <f t="shared" si="3"/>
        <v>48</v>
      </c>
      <c r="B49" t="s">
        <v>38</v>
      </c>
      <c r="C49">
        <v>1</v>
      </c>
      <c r="D49" t="s">
        <v>28</v>
      </c>
      <c r="E49" t="s">
        <v>28</v>
      </c>
      <c r="F49" t="s">
        <v>28</v>
      </c>
      <c r="G49" t="s">
        <v>28</v>
      </c>
      <c r="H49">
        <v>17.091000000000001</v>
      </c>
      <c r="I49">
        <v>7.2889999999999997</v>
      </c>
      <c r="J49">
        <f t="shared" si="2"/>
        <v>3.8170000000000002</v>
      </c>
      <c r="K49">
        <v>5.9850000000000003</v>
      </c>
      <c r="L49">
        <v>1</v>
      </c>
      <c r="M49">
        <v>0</v>
      </c>
      <c r="N49">
        <v>1</v>
      </c>
      <c r="Q49">
        <v>0.46899999999999997</v>
      </c>
      <c r="R49">
        <v>0.56399999999999995</v>
      </c>
      <c r="S49">
        <v>0.68100000000000005</v>
      </c>
      <c r="T49">
        <v>2.3530000000000002</v>
      </c>
      <c r="U49">
        <v>3.4889999999999999</v>
      </c>
      <c r="V49">
        <v>0.29799999999999999</v>
      </c>
      <c r="AA49">
        <f>IF(Attempts[[#This Row],[keystroke_result]]="logged in",1,0)</f>
        <v>0</v>
      </c>
      <c r="AB49">
        <f>IF(Attempts[[#This Row],[graphical_result]]="logged in",1,0)</f>
        <v>0</v>
      </c>
      <c r="AC49">
        <f>IF(Attempts[[#This Row],[mouse_result]]="logged in",1,0)</f>
        <v>0</v>
      </c>
      <c r="AD49">
        <f>IF(Attempts[[#This Row],[final_result]]="logged in",1,0)</f>
        <v>0</v>
      </c>
      <c r="AE49">
        <f>IF(Attempts[[#This Row],[is_impostor]]=0,1,0)</f>
        <v>0</v>
      </c>
      <c r="AF49">
        <f>IF(Attempts[[#This Row],[is_impostor]]=1,1,0)</f>
        <v>1</v>
      </c>
      <c r="AG49">
        <f>IF(AND(Attempts[[#This Row],[keystroke_pass]]=1,Attempts[[#This Row],[graphical_pass]]=1,Attempts[[#This Row],[mouse_pass]]=1),1,0)</f>
        <v>0</v>
      </c>
      <c r="AH49">
        <f>IF(AND(Attempts[[#This Row],[keystroke_pass]]=1, OR(Attempts[[#This Row],[graphical_pass]]=1, Attempts[[#This Row],[mouse_pass]]=1)), 1, 0)</f>
        <v>0</v>
      </c>
      <c r="AI49" t="str">
        <f>IF(Attempts[[#This Row],[final_result]]="logged in",Attempts[[#This Row],[login_attempt_number]],"")</f>
        <v/>
      </c>
      <c r="AJ49">
        <f>IF(AND(Attempts[[#This Row],[is_impostor]]=0,Attempts[[#This Row],[final_result]]="logged in"),1,0)</f>
        <v>0</v>
      </c>
      <c r="AK49">
        <f>IF(AND(Attempts[[#This Row],[is_impostor]]=0,Attempts[[#This Row],[final_result]]="logged in",Attempts[[#This Row],[tries_to_success]]&gt;1),1,0)</f>
        <v>0</v>
      </c>
      <c r="AL49">
        <f>IF(Attempts[[#This Row],[prompt_match]]=0,1,0)</f>
        <v>0</v>
      </c>
    </row>
    <row r="50" spans="1:38">
      <c r="A50">
        <f t="shared" si="3"/>
        <v>49</v>
      </c>
      <c r="B50" t="s">
        <v>38</v>
      </c>
      <c r="C50">
        <v>1</v>
      </c>
      <c r="D50" t="s">
        <v>27</v>
      </c>
      <c r="E50" t="s">
        <v>28</v>
      </c>
      <c r="F50" t="s">
        <v>28</v>
      </c>
      <c r="G50" t="s">
        <v>28</v>
      </c>
      <c r="H50">
        <v>30.213000000000001</v>
      </c>
      <c r="I50">
        <v>16.684000000000001</v>
      </c>
      <c r="J50">
        <f t="shared" si="2"/>
        <v>5.2940000000000005</v>
      </c>
      <c r="K50">
        <v>8.2349999999999994</v>
      </c>
      <c r="L50">
        <v>2</v>
      </c>
      <c r="M50">
        <v>0</v>
      </c>
      <c r="N50">
        <v>1</v>
      </c>
      <c r="Q50">
        <v>0.11</v>
      </c>
      <c r="R50">
        <v>0.4</v>
      </c>
      <c r="S50">
        <v>0.90100000000000002</v>
      </c>
      <c r="T50">
        <v>1.53</v>
      </c>
      <c r="U50">
        <v>1.7669999999999999</v>
      </c>
      <c r="V50">
        <v>0.39500000000000002</v>
      </c>
      <c r="AA50">
        <f>IF(Attempts[[#This Row],[keystroke_result]]="logged in",1,0)</f>
        <v>1</v>
      </c>
      <c r="AB50">
        <f>IF(Attempts[[#This Row],[graphical_result]]="logged in",1,0)</f>
        <v>0</v>
      </c>
      <c r="AC50">
        <f>IF(Attempts[[#This Row],[mouse_result]]="logged in",1,0)</f>
        <v>0</v>
      </c>
      <c r="AD50">
        <f>IF(Attempts[[#This Row],[final_result]]="logged in",1,0)</f>
        <v>0</v>
      </c>
      <c r="AE50">
        <f>IF(Attempts[[#This Row],[is_impostor]]=0,1,0)</f>
        <v>0</v>
      </c>
      <c r="AF50">
        <f>IF(Attempts[[#This Row],[is_impostor]]=1,1,0)</f>
        <v>1</v>
      </c>
      <c r="AG50">
        <f>IF(AND(Attempts[[#This Row],[keystroke_pass]]=1,Attempts[[#This Row],[graphical_pass]]=1,Attempts[[#This Row],[mouse_pass]]=1),1,0)</f>
        <v>0</v>
      </c>
      <c r="AH50">
        <f>IF(AND(Attempts[[#This Row],[keystroke_pass]]=1, OR(Attempts[[#This Row],[graphical_pass]]=1, Attempts[[#This Row],[mouse_pass]]=1)), 1, 0)</f>
        <v>0</v>
      </c>
      <c r="AI50" t="str">
        <f>IF(Attempts[[#This Row],[final_result]]="logged in",Attempts[[#This Row],[login_attempt_number]],"")</f>
        <v/>
      </c>
      <c r="AJ50">
        <f>IF(AND(Attempts[[#This Row],[is_impostor]]=0,Attempts[[#This Row],[final_result]]="logged in"),1,0)</f>
        <v>0</v>
      </c>
      <c r="AK50">
        <f>IF(AND(Attempts[[#This Row],[is_impostor]]=0,Attempts[[#This Row],[final_result]]="logged in",Attempts[[#This Row],[tries_to_success]]&gt;1),1,0)</f>
        <v>0</v>
      </c>
      <c r="AL50">
        <f>IF(Attempts[[#This Row],[prompt_match]]=0,1,0)</f>
        <v>0</v>
      </c>
    </row>
    <row r="51" spans="1:38">
      <c r="A51">
        <f t="shared" si="3"/>
        <v>50</v>
      </c>
      <c r="B51" t="s">
        <v>38</v>
      </c>
      <c r="C51">
        <v>1</v>
      </c>
      <c r="D51" t="s">
        <v>28</v>
      </c>
      <c r="E51" t="s">
        <v>27</v>
      </c>
      <c r="F51" t="s">
        <v>28</v>
      </c>
      <c r="G51" t="s">
        <v>28</v>
      </c>
      <c r="H51">
        <v>16.198</v>
      </c>
      <c r="I51">
        <v>8.1180000000000003</v>
      </c>
      <c r="J51">
        <f t="shared" si="2"/>
        <v>3.5620000000000012</v>
      </c>
      <c r="K51">
        <v>4.5179999999999998</v>
      </c>
      <c r="L51">
        <v>1</v>
      </c>
      <c r="M51">
        <v>0</v>
      </c>
      <c r="N51">
        <v>1</v>
      </c>
      <c r="O51" t="s">
        <v>29</v>
      </c>
      <c r="P51" t="s">
        <v>30</v>
      </c>
      <c r="Q51">
        <v>0.55700000000000005</v>
      </c>
      <c r="R51">
        <v>0.59699999999999998</v>
      </c>
      <c r="S51">
        <v>0.64200000000000002</v>
      </c>
      <c r="T51">
        <v>3.3660000000000001</v>
      </c>
      <c r="U51">
        <v>4.7089999999999996</v>
      </c>
      <c r="V51">
        <v>0.22900000000000001</v>
      </c>
      <c r="AA51">
        <f>IF(Attempts[[#This Row],[keystroke_result]]="logged in",1,0)</f>
        <v>0</v>
      </c>
      <c r="AB51">
        <f>IF(Attempts[[#This Row],[graphical_result]]="logged in",1,0)</f>
        <v>1</v>
      </c>
      <c r="AC51">
        <f>IF(Attempts[[#This Row],[mouse_result]]="logged in",1,0)</f>
        <v>0</v>
      </c>
      <c r="AD51">
        <f>IF(Attempts[[#This Row],[final_result]]="logged in",1,0)</f>
        <v>0</v>
      </c>
      <c r="AE51">
        <f>IF(Attempts[[#This Row],[is_impostor]]=0,1,0)</f>
        <v>0</v>
      </c>
      <c r="AF51">
        <f>IF(Attempts[[#This Row],[is_impostor]]=1,1,0)</f>
        <v>1</v>
      </c>
      <c r="AG51">
        <f>IF(AND(Attempts[[#This Row],[keystroke_pass]]=1,Attempts[[#This Row],[graphical_pass]]=1,Attempts[[#This Row],[mouse_pass]]=1),1,0)</f>
        <v>0</v>
      </c>
      <c r="AH51">
        <f>IF(AND(Attempts[[#This Row],[keystroke_pass]]=1, OR(Attempts[[#This Row],[graphical_pass]]=1, Attempts[[#This Row],[mouse_pass]]=1)), 1, 0)</f>
        <v>0</v>
      </c>
      <c r="AI51" t="str">
        <f>IF(Attempts[[#This Row],[final_result]]="logged in",Attempts[[#This Row],[login_attempt_number]],"")</f>
        <v/>
      </c>
      <c r="AJ51">
        <f>IF(AND(Attempts[[#This Row],[is_impostor]]=0,Attempts[[#This Row],[final_result]]="logged in"),1,0)</f>
        <v>0</v>
      </c>
      <c r="AK51">
        <f>IF(AND(Attempts[[#This Row],[is_impostor]]=0,Attempts[[#This Row],[final_result]]="logged in",Attempts[[#This Row],[tries_to_success]]&gt;1),1,0)</f>
        <v>0</v>
      </c>
      <c r="AL51">
        <f>IF(Attempts[[#This Row],[prompt_match]]=0,1,0)</f>
        <v>0</v>
      </c>
    </row>
    <row r="52" spans="1:38">
      <c r="A52">
        <f t="shared" si="3"/>
        <v>51</v>
      </c>
      <c r="B52" t="s">
        <v>39</v>
      </c>
      <c r="C52">
        <v>1</v>
      </c>
      <c r="D52" t="s">
        <v>28</v>
      </c>
      <c r="E52" t="s">
        <v>28</v>
      </c>
      <c r="F52" t="s">
        <v>28</v>
      </c>
      <c r="G52" t="s">
        <v>28</v>
      </c>
      <c r="H52">
        <v>26.22</v>
      </c>
      <c r="I52">
        <v>7.3289999999999997</v>
      </c>
      <c r="J52">
        <f t="shared" si="2"/>
        <v>15.662999999999998</v>
      </c>
      <c r="K52">
        <v>3.2280000000000002</v>
      </c>
      <c r="L52">
        <v>3</v>
      </c>
      <c r="M52">
        <v>0</v>
      </c>
      <c r="N52">
        <v>1</v>
      </c>
      <c r="Q52">
        <v>0.63700000000000001</v>
      </c>
      <c r="R52">
        <v>1.9490000000000001</v>
      </c>
      <c r="S52">
        <v>0.65100000000000002</v>
      </c>
      <c r="T52">
        <v>1.1990000000000001</v>
      </c>
      <c r="U52">
        <v>2.1520000000000001</v>
      </c>
      <c r="V52">
        <v>0.45500000000000002</v>
      </c>
      <c r="AA52">
        <f>IF(Attempts[[#This Row],[keystroke_result]]="logged in",1,0)</f>
        <v>0</v>
      </c>
      <c r="AB52">
        <f>IF(Attempts[[#This Row],[graphical_result]]="logged in",1,0)</f>
        <v>0</v>
      </c>
      <c r="AC52">
        <f>IF(Attempts[[#This Row],[mouse_result]]="logged in",1,0)</f>
        <v>0</v>
      </c>
      <c r="AD52">
        <f>IF(Attempts[[#This Row],[final_result]]="logged in",1,0)</f>
        <v>0</v>
      </c>
      <c r="AE52">
        <f>IF(Attempts[[#This Row],[is_impostor]]=0,1,0)</f>
        <v>0</v>
      </c>
      <c r="AF52">
        <f>IF(Attempts[[#This Row],[is_impostor]]=1,1,0)</f>
        <v>1</v>
      </c>
      <c r="AG52">
        <f>IF(AND(Attempts[[#This Row],[keystroke_pass]]=1,Attempts[[#This Row],[graphical_pass]]=1,Attempts[[#This Row],[mouse_pass]]=1),1,0)</f>
        <v>0</v>
      </c>
      <c r="AH52">
        <f>IF(AND(Attempts[[#This Row],[keystroke_pass]]=1, OR(Attempts[[#This Row],[graphical_pass]]=1, Attempts[[#This Row],[mouse_pass]]=1)), 1, 0)</f>
        <v>0</v>
      </c>
      <c r="AI52" t="str">
        <f>IF(Attempts[[#This Row],[final_result]]="logged in",Attempts[[#This Row],[login_attempt_number]],"")</f>
        <v/>
      </c>
      <c r="AJ52">
        <f>IF(AND(Attempts[[#This Row],[is_impostor]]=0,Attempts[[#This Row],[final_result]]="logged in"),1,0)</f>
        <v>0</v>
      </c>
      <c r="AK52">
        <f>IF(AND(Attempts[[#This Row],[is_impostor]]=0,Attempts[[#This Row],[final_result]]="logged in",Attempts[[#This Row],[tries_to_success]]&gt;1),1,0)</f>
        <v>0</v>
      </c>
      <c r="AL52">
        <f>IF(Attempts[[#This Row],[prompt_match]]=0,1,0)</f>
        <v>0</v>
      </c>
    </row>
    <row r="53" spans="1:38">
      <c r="A53">
        <f t="shared" si="3"/>
        <v>52</v>
      </c>
      <c r="B53" t="s">
        <v>39</v>
      </c>
      <c r="C53">
        <v>1</v>
      </c>
      <c r="D53" t="s">
        <v>28</v>
      </c>
      <c r="E53" t="s">
        <v>28</v>
      </c>
      <c r="F53" t="s">
        <v>28</v>
      </c>
      <c r="G53" t="s">
        <v>28</v>
      </c>
      <c r="H53">
        <v>19.451000000000001</v>
      </c>
      <c r="I53">
        <v>11.239000000000001</v>
      </c>
      <c r="J53">
        <f t="shared" si="2"/>
        <v>3.9039999999999999</v>
      </c>
      <c r="K53">
        <v>4.3079999999999998</v>
      </c>
      <c r="L53">
        <v>3</v>
      </c>
      <c r="M53">
        <v>0</v>
      </c>
      <c r="N53">
        <v>1</v>
      </c>
      <c r="Q53">
        <v>0.53700000000000003</v>
      </c>
      <c r="R53">
        <v>1.7490000000000001</v>
      </c>
      <c r="S53">
        <v>0.65100000000000002</v>
      </c>
      <c r="T53">
        <v>1.1990000000000001</v>
      </c>
      <c r="U53">
        <v>2.1520000000000001</v>
      </c>
      <c r="V53">
        <v>0.45500000000000002</v>
      </c>
      <c r="AA53">
        <f>IF(Attempts[[#This Row],[keystroke_result]]="logged in",1,0)</f>
        <v>0</v>
      </c>
      <c r="AB53">
        <f>IF(Attempts[[#This Row],[graphical_result]]="logged in",1,0)</f>
        <v>0</v>
      </c>
      <c r="AC53">
        <f>IF(Attempts[[#This Row],[mouse_result]]="logged in",1,0)</f>
        <v>0</v>
      </c>
      <c r="AD53">
        <f>IF(Attempts[[#This Row],[final_result]]="logged in",1,0)</f>
        <v>0</v>
      </c>
      <c r="AE53">
        <f>IF(Attempts[[#This Row],[is_impostor]]=0,1,0)</f>
        <v>0</v>
      </c>
      <c r="AF53">
        <f>IF(Attempts[[#This Row],[is_impostor]]=1,1,0)</f>
        <v>1</v>
      </c>
      <c r="AG53">
        <f>IF(AND(Attempts[[#This Row],[keystroke_pass]]=1,Attempts[[#This Row],[graphical_pass]]=1,Attempts[[#This Row],[mouse_pass]]=1),1,0)</f>
        <v>0</v>
      </c>
      <c r="AH53">
        <f>IF(AND(Attempts[[#This Row],[keystroke_pass]]=1, OR(Attempts[[#This Row],[graphical_pass]]=1, Attempts[[#This Row],[mouse_pass]]=1)), 1, 0)</f>
        <v>0</v>
      </c>
      <c r="AI53" t="str">
        <f>IF(Attempts[[#This Row],[final_result]]="logged in",Attempts[[#This Row],[login_attempt_number]],"")</f>
        <v/>
      </c>
      <c r="AJ53">
        <f>IF(AND(Attempts[[#This Row],[is_impostor]]=0,Attempts[[#This Row],[final_result]]="logged in"),1,0)</f>
        <v>0</v>
      </c>
      <c r="AK53">
        <f>IF(AND(Attempts[[#This Row],[is_impostor]]=0,Attempts[[#This Row],[final_result]]="logged in",Attempts[[#This Row],[tries_to_success]]&gt;1),1,0)</f>
        <v>0</v>
      </c>
      <c r="AL53">
        <f>IF(Attempts[[#This Row],[prompt_match]]=0,1,0)</f>
        <v>0</v>
      </c>
    </row>
    <row r="54" spans="1:38">
      <c r="A54">
        <f t="shared" si="3"/>
        <v>53</v>
      </c>
      <c r="B54" t="s">
        <v>39</v>
      </c>
      <c r="C54">
        <v>1</v>
      </c>
      <c r="D54" t="s">
        <v>28</v>
      </c>
      <c r="E54" t="s">
        <v>28</v>
      </c>
      <c r="F54" t="s">
        <v>27</v>
      </c>
      <c r="G54" t="s">
        <v>28</v>
      </c>
      <c r="H54">
        <v>18.835999999999999</v>
      </c>
      <c r="I54">
        <v>9.0350000000000001</v>
      </c>
      <c r="J54">
        <f t="shared" si="2"/>
        <v>5.863999999999999</v>
      </c>
      <c r="K54">
        <v>3.9369999999999998</v>
      </c>
      <c r="L54">
        <v>2</v>
      </c>
      <c r="M54">
        <v>0</v>
      </c>
      <c r="N54">
        <v>1</v>
      </c>
      <c r="Q54">
        <v>0.91300000000000003</v>
      </c>
      <c r="R54">
        <v>3.33</v>
      </c>
      <c r="S54">
        <v>0.52300000000000002</v>
      </c>
      <c r="T54">
        <v>0.76</v>
      </c>
      <c r="U54">
        <v>1.1439999999999999</v>
      </c>
      <c r="V54">
        <v>0.56799999999999995</v>
      </c>
      <c r="AA54">
        <f>IF(Attempts[[#This Row],[keystroke_result]]="logged in",1,0)</f>
        <v>0</v>
      </c>
      <c r="AB54">
        <f>IF(Attempts[[#This Row],[graphical_result]]="logged in",1,0)</f>
        <v>0</v>
      </c>
      <c r="AC54">
        <f>IF(Attempts[[#This Row],[mouse_result]]="logged in",1,0)</f>
        <v>1</v>
      </c>
      <c r="AD54">
        <f>IF(Attempts[[#This Row],[final_result]]="logged in",1,0)</f>
        <v>0</v>
      </c>
      <c r="AE54">
        <f>IF(Attempts[[#This Row],[is_impostor]]=0,1,0)</f>
        <v>0</v>
      </c>
      <c r="AF54">
        <f>IF(Attempts[[#This Row],[is_impostor]]=1,1,0)</f>
        <v>1</v>
      </c>
      <c r="AG54">
        <f>IF(AND(Attempts[[#This Row],[keystroke_pass]]=1,Attempts[[#This Row],[graphical_pass]]=1,Attempts[[#This Row],[mouse_pass]]=1),1,0)</f>
        <v>0</v>
      </c>
      <c r="AH54">
        <f>IF(AND(Attempts[[#This Row],[keystroke_pass]]=1, OR(Attempts[[#This Row],[graphical_pass]]=1, Attempts[[#This Row],[mouse_pass]]=1)), 1, 0)</f>
        <v>0</v>
      </c>
      <c r="AI54" t="str">
        <f>IF(Attempts[[#This Row],[final_result]]="logged in",Attempts[[#This Row],[login_attempt_number]],"")</f>
        <v/>
      </c>
      <c r="AJ54">
        <f>IF(AND(Attempts[[#This Row],[is_impostor]]=0,Attempts[[#This Row],[final_result]]="logged in"),1,0)</f>
        <v>0</v>
      </c>
      <c r="AK54">
        <f>IF(AND(Attempts[[#This Row],[is_impostor]]=0,Attempts[[#This Row],[final_result]]="logged in",Attempts[[#This Row],[tries_to_success]]&gt;1),1,0)</f>
        <v>0</v>
      </c>
      <c r="AL54">
        <f>IF(Attempts[[#This Row],[prompt_match]]=0,1,0)</f>
        <v>0</v>
      </c>
    </row>
    <row r="55" spans="1:38">
      <c r="A55">
        <f t="shared" si="3"/>
        <v>54</v>
      </c>
      <c r="B55" t="s">
        <v>39</v>
      </c>
      <c r="C55">
        <v>1</v>
      </c>
      <c r="D55" t="s">
        <v>28</v>
      </c>
      <c r="E55" t="s">
        <v>28</v>
      </c>
      <c r="F55" t="s">
        <v>27</v>
      </c>
      <c r="G55" t="s">
        <v>28</v>
      </c>
      <c r="H55">
        <v>20.068999999999999</v>
      </c>
      <c r="I55">
        <v>7.4489999999999998</v>
      </c>
      <c r="J55">
        <f t="shared" si="2"/>
        <v>8.1009999999999991</v>
      </c>
      <c r="K55">
        <v>4.5190000000000001</v>
      </c>
      <c r="L55">
        <v>1</v>
      </c>
      <c r="M55">
        <v>0</v>
      </c>
      <c r="N55">
        <v>1</v>
      </c>
      <c r="Q55">
        <v>0.83399999999999996</v>
      </c>
      <c r="R55">
        <v>2.4319999999999999</v>
      </c>
      <c r="S55">
        <v>0.54500000000000004</v>
      </c>
      <c r="T55">
        <v>0.82099999999999995</v>
      </c>
      <c r="U55">
        <v>1.3340000000000001</v>
      </c>
      <c r="V55">
        <v>0.54900000000000004</v>
      </c>
      <c r="AA55">
        <f>IF(Attempts[[#This Row],[keystroke_result]]="logged in",1,0)</f>
        <v>0</v>
      </c>
      <c r="AB55">
        <f>IF(Attempts[[#This Row],[graphical_result]]="logged in",1,0)</f>
        <v>0</v>
      </c>
      <c r="AC55">
        <f>IF(Attempts[[#This Row],[mouse_result]]="logged in",1,0)</f>
        <v>1</v>
      </c>
      <c r="AD55">
        <f>IF(Attempts[[#This Row],[final_result]]="logged in",1,0)</f>
        <v>0</v>
      </c>
      <c r="AE55">
        <f>IF(Attempts[[#This Row],[is_impostor]]=0,1,0)</f>
        <v>0</v>
      </c>
      <c r="AF55">
        <f>IF(Attempts[[#This Row],[is_impostor]]=1,1,0)</f>
        <v>1</v>
      </c>
      <c r="AG55">
        <f>IF(AND(Attempts[[#This Row],[keystroke_pass]]=1,Attempts[[#This Row],[graphical_pass]]=1,Attempts[[#This Row],[mouse_pass]]=1),1,0)</f>
        <v>0</v>
      </c>
      <c r="AH55">
        <f>IF(AND(Attempts[[#This Row],[keystroke_pass]]=1, OR(Attempts[[#This Row],[graphical_pass]]=1, Attempts[[#This Row],[mouse_pass]]=1)), 1, 0)</f>
        <v>0</v>
      </c>
      <c r="AI55" t="str">
        <f>IF(Attempts[[#This Row],[final_result]]="logged in",Attempts[[#This Row],[login_attempt_number]],"")</f>
        <v/>
      </c>
      <c r="AJ55">
        <f>IF(AND(Attempts[[#This Row],[is_impostor]]=0,Attempts[[#This Row],[final_result]]="logged in"),1,0)</f>
        <v>0</v>
      </c>
      <c r="AK55">
        <f>IF(AND(Attempts[[#This Row],[is_impostor]]=0,Attempts[[#This Row],[final_result]]="logged in",Attempts[[#This Row],[tries_to_success]]&gt;1),1,0)</f>
        <v>0</v>
      </c>
      <c r="AL55">
        <f>IF(Attempts[[#This Row],[prompt_match]]=0,1,0)</f>
        <v>0</v>
      </c>
    </row>
    <row r="56" spans="1:38">
      <c r="A56">
        <f t="shared" si="3"/>
        <v>55</v>
      </c>
      <c r="B56" t="s">
        <v>39</v>
      </c>
      <c r="C56">
        <v>1</v>
      </c>
      <c r="D56" t="s">
        <v>28</v>
      </c>
      <c r="E56" t="s">
        <v>28</v>
      </c>
      <c r="F56" t="s">
        <v>27</v>
      </c>
      <c r="G56" t="s">
        <v>28</v>
      </c>
      <c r="H56">
        <v>20.85</v>
      </c>
      <c r="I56">
        <v>13.571999999999999</v>
      </c>
      <c r="J56">
        <f t="shared" si="2"/>
        <v>3.3500000000000014</v>
      </c>
      <c r="K56">
        <v>3.9279999999999999</v>
      </c>
      <c r="L56">
        <v>3</v>
      </c>
      <c r="M56">
        <v>0</v>
      </c>
      <c r="N56">
        <v>1</v>
      </c>
      <c r="Q56">
        <v>0.73599999999999999</v>
      </c>
      <c r="R56">
        <v>2.335</v>
      </c>
      <c r="S56">
        <v>0.57599999999999996</v>
      </c>
      <c r="T56">
        <v>0.88500000000000001</v>
      </c>
      <c r="U56">
        <v>1.556</v>
      </c>
      <c r="V56">
        <v>0.53100000000000003</v>
      </c>
      <c r="AA56">
        <f>IF(Attempts[[#This Row],[keystroke_result]]="logged in",1,0)</f>
        <v>0</v>
      </c>
      <c r="AB56">
        <f>IF(Attempts[[#This Row],[graphical_result]]="logged in",1,0)</f>
        <v>0</v>
      </c>
      <c r="AC56">
        <f>IF(Attempts[[#This Row],[mouse_result]]="logged in",1,0)</f>
        <v>1</v>
      </c>
      <c r="AD56">
        <f>IF(Attempts[[#This Row],[final_result]]="logged in",1,0)</f>
        <v>0</v>
      </c>
      <c r="AE56">
        <f>IF(Attempts[[#This Row],[is_impostor]]=0,1,0)</f>
        <v>0</v>
      </c>
      <c r="AF56">
        <f>IF(Attempts[[#This Row],[is_impostor]]=1,1,0)</f>
        <v>1</v>
      </c>
      <c r="AG56">
        <f>IF(AND(Attempts[[#This Row],[keystroke_pass]]=1,Attempts[[#This Row],[graphical_pass]]=1,Attempts[[#This Row],[mouse_pass]]=1),1,0)</f>
        <v>0</v>
      </c>
      <c r="AH56">
        <f>IF(AND(Attempts[[#This Row],[keystroke_pass]]=1, OR(Attempts[[#This Row],[graphical_pass]]=1, Attempts[[#This Row],[mouse_pass]]=1)), 1, 0)</f>
        <v>0</v>
      </c>
      <c r="AI56" t="str">
        <f>IF(Attempts[[#This Row],[final_result]]="logged in",Attempts[[#This Row],[login_attempt_number]],"")</f>
        <v/>
      </c>
      <c r="AJ56">
        <f>IF(AND(Attempts[[#This Row],[is_impostor]]=0,Attempts[[#This Row],[final_result]]="logged in"),1,0)</f>
        <v>0</v>
      </c>
      <c r="AK56">
        <f>IF(AND(Attempts[[#This Row],[is_impostor]]=0,Attempts[[#This Row],[final_result]]="logged in",Attempts[[#This Row],[tries_to_success]]&gt;1),1,0)</f>
        <v>0</v>
      </c>
      <c r="AL56">
        <f>IF(Attempts[[#This Row],[prompt_match]]=0,1,0)</f>
        <v>0</v>
      </c>
    </row>
    <row r="57" spans="1:38">
      <c r="A57">
        <f t="shared" si="3"/>
        <v>56</v>
      </c>
      <c r="B57" t="s">
        <v>39</v>
      </c>
      <c r="C57">
        <v>1</v>
      </c>
      <c r="D57" t="s">
        <v>28</v>
      </c>
      <c r="E57" t="s">
        <v>27</v>
      </c>
      <c r="F57" t="s">
        <v>27</v>
      </c>
      <c r="G57" t="s">
        <v>28</v>
      </c>
      <c r="H57">
        <v>16.581</v>
      </c>
      <c r="I57">
        <v>8.6310000000000002</v>
      </c>
      <c r="J57">
        <f t="shared" si="2"/>
        <v>3.1769999999999996</v>
      </c>
      <c r="K57">
        <v>4.7729999999999997</v>
      </c>
      <c r="L57">
        <v>2</v>
      </c>
      <c r="M57">
        <v>0</v>
      </c>
      <c r="N57">
        <v>1</v>
      </c>
      <c r="O57" t="s">
        <v>40</v>
      </c>
      <c r="P57" t="s">
        <v>31</v>
      </c>
      <c r="Q57">
        <v>1.248</v>
      </c>
      <c r="R57">
        <v>4.5839999999999996</v>
      </c>
      <c r="S57">
        <v>0.44500000000000001</v>
      </c>
      <c r="T57">
        <v>0.27300000000000002</v>
      </c>
      <c r="U57">
        <v>0.53500000000000003</v>
      </c>
      <c r="V57">
        <v>0.78600000000000003</v>
      </c>
      <c r="AA57">
        <f>IF(Attempts[[#This Row],[keystroke_result]]="logged in",1,0)</f>
        <v>0</v>
      </c>
      <c r="AB57">
        <f>IF(Attempts[[#This Row],[graphical_result]]="logged in",1,0)</f>
        <v>1</v>
      </c>
      <c r="AC57">
        <f>IF(Attempts[[#This Row],[mouse_result]]="logged in",1,0)</f>
        <v>1</v>
      </c>
      <c r="AD57">
        <f>IF(Attempts[[#This Row],[final_result]]="logged in",1,0)</f>
        <v>0</v>
      </c>
      <c r="AE57">
        <f>IF(Attempts[[#This Row],[is_impostor]]=0,1,0)</f>
        <v>0</v>
      </c>
      <c r="AF57">
        <f>IF(Attempts[[#This Row],[is_impostor]]=1,1,0)</f>
        <v>1</v>
      </c>
      <c r="AG57">
        <f>IF(AND(Attempts[[#This Row],[keystroke_pass]]=1,Attempts[[#This Row],[graphical_pass]]=1,Attempts[[#This Row],[mouse_pass]]=1),1,0)</f>
        <v>0</v>
      </c>
      <c r="AH57">
        <f>IF(AND(Attempts[[#This Row],[keystroke_pass]]=1, OR(Attempts[[#This Row],[graphical_pass]]=1, Attempts[[#This Row],[mouse_pass]]=1)), 1, 0)</f>
        <v>0</v>
      </c>
      <c r="AI57" t="str">
        <f>IF(Attempts[[#This Row],[final_result]]="logged in",Attempts[[#This Row],[login_attempt_number]],"")</f>
        <v/>
      </c>
      <c r="AJ57">
        <f>IF(AND(Attempts[[#This Row],[is_impostor]]=0,Attempts[[#This Row],[final_result]]="logged in"),1,0)</f>
        <v>0</v>
      </c>
      <c r="AK57">
        <f>IF(AND(Attempts[[#This Row],[is_impostor]]=0,Attempts[[#This Row],[final_result]]="logged in",Attempts[[#This Row],[tries_to_success]]&gt;1),1,0)</f>
        <v>0</v>
      </c>
      <c r="AL57">
        <f>IF(Attempts[[#This Row],[prompt_match]]=0,1,0)</f>
        <v>0</v>
      </c>
    </row>
    <row r="58" spans="1:38">
      <c r="A58">
        <f t="shared" si="3"/>
        <v>57</v>
      </c>
      <c r="B58" t="s">
        <v>39</v>
      </c>
      <c r="C58">
        <v>1</v>
      </c>
      <c r="D58" t="s">
        <v>28</v>
      </c>
      <c r="E58" t="s">
        <v>28</v>
      </c>
      <c r="F58" t="s">
        <v>28</v>
      </c>
      <c r="G58" t="s">
        <v>28</v>
      </c>
      <c r="H58">
        <v>13.506</v>
      </c>
      <c r="I58">
        <v>7.2039999999999997</v>
      </c>
      <c r="J58">
        <f t="shared" si="2"/>
        <v>3.0990000000000002</v>
      </c>
      <c r="K58">
        <v>3.2029999999999998</v>
      </c>
      <c r="L58">
        <v>1</v>
      </c>
      <c r="M58">
        <v>0</v>
      </c>
      <c r="N58">
        <v>1</v>
      </c>
      <c r="Q58">
        <v>0.53600000000000003</v>
      </c>
      <c r="R58">
        <v>1.488</v>
      </c>
      <c r="S58">
        <v>0.65100000000000002</v>
      </c>
      <c r="T58">
        <v>1.2130000000000001</v>
      </c>
      <c r="U58">
        <v>2.0539999999999998</v>
      </c>
      <c r="V58">
        <v>0.45200000000000001</v>
      </c>
      <c r="AA58">
        <f>IF(Attempts[[#This Row],[keystroke_result]]="logged in",1,0)</f>
        <v>0</v>
      </c>
      <c r="AB58">
        <f>IF(Attempts[[#This Row],[graphical_result]]="logged in",1,0)</f>
        <v>0</v>
      </c>
      <c r="AC58">
        <f>IF(Attempts[[#This Row],[mouse_result]]="logged in",1,0)</f>
        <v>0</v>
      </c>
      <c r="AD58">
        <f>IF(Attempts[[#This Row],[final_result]]="logged in",1,0)</f>
        <v>0</v>
      </c>
      <c r="AE58">
        <f>IF(Attempts[[#This Row],[is_impostor]]=0,1,0)</f>
        <v>0</v>
      </c>
      <c r="AF58">
        <f>IF(Attempts[[#This Row],[is_impostor]]=1,1,0)</f>
        <v>1</v>
      </c>
      <c r="AG58">
        <f>IF(AND(Attempts[[#This Row],[keystroke_pass]]=1,Attempts[[#This Row],[graphical_pass]]=1,Attempts[[#This Row],[mouse_pass]]=1),1,0)</f>
        <v>0</v>
      </c>
      <c r="AH58">
        <f>IF(AND(Attempts[[#This Row],[keystroke_pass]]=1, OR(Attempts[[#This Row],[graphical_pass]]=1, Attempts[[#This Row],[mouse_pass]]=1)), 1, 0)</f>
        <v>0</v>
      </c>
      <c r="AI58" t="str">
        <f>IF(Attempts[[#This Row],[final_result]]="logged in",Attempts[[#This Row],[login_attempt_number]],"")</f>
        <v/>
      </c>
      <c r="AJ58">
        <f>IF(AND(Attempts[[#This Row],[is_impostor]]=0,Attempts[[#This Row],[final_result]]="logged in"),1,0)</f>
        <v>0</v>
      </c>
      <c r="AK58">
        <f>IF(AND(Attempts[[#This Row],[is_impostor]]=0,Attempts[[#This Row],[final_result]]="logged in",Attempts[[#This Row],[tries_to_success]]&gt;1),1,0)</f>
        <v>0</v>
      </c>
      <c r="AL58">
        <f>IF(Attempts[[#This Row],[prompt_match]]=0,1,0)</f>
        <v>0</v>
      </c>
    </row>
    <row r="59" spans="1:38">
      <c r="A59">
        <f t="shared" si="3"/>
        <v>58</v>
      </c>
      <c r="B59" t="s">
        <v>39</v>
      </c>
      <c r="C59">
        <v>1</v>
      </c>
      <c r="D59" t="s">
        <v>28</v>
      </c>
      <c r="E59" t="s">
        <v>28</v>
      </c>
      <c r="F59" t="s">
        <v>27</v>
      </c>
      <c r="G59" t="s">
        <v>28</v>
      </c>
      <c r="H59">
        <v>27.242999999999999</v>
      </c>
      <c r="I59">
        <v>19.706</v>
      </c>
      <c r="J59">
        <f t="shared" si="2"/>
        <v>4.1289999999999978</v>
      </c>
      <c r="K59">
        <v>3.4079999999999999</v>
      </c>
      <c r="L59">
        <v>3</v>
      </c>
      <c r="M59">
        <v>0</v>
      </c>
      <c r="N59">
        <v>1</v>
      </c>
      <c r="Q59">
        <v>1.548</v>
      </c>
      <c r="R59">
        <v>1.629</v>
      </c>
      <c r="S59">
        <v>0.39300000000000002</v>
      </c>
      <c r="T59">
        <v>0.83599999999999997</v>
      </c>
      <c r="U59">
        <v>1.794</v>
      </c>
      <c r="V59">
        <v>0.54500000000000004</v>
      </c>
      <c r="AA59">
        <f>IF(Attempts[[#This Row],[keystroke_result]]="logged in",1,0)</f>
        <v>0</v>
      </c>
      <c r="AB59">
        <f>IF(Attempts[[#This Row],[graphical_result]]="logged in",1,0)</f>
        <v>0</v>
      </c>
      <c r="AC59">
        <f>IF(Attempts[[#This Row],[mouse_result]]="logged in",1,0)</f>
        <v>1</v>
      </c>
      <c r="AD59">
        <f>IF(Attempts[[#This Row],[final_result]]="logged in",1,0)</f>
        <v>0</v>
      </c>
      <c r="AE59">
        <f>IF(Attempts[[#This Row],[is_impostor]]=0,1,0)</f>
        <v>0</v>
      </c>
      <c r="AF59">
        <f>IF(Attempts[[#This Row],[is_impostor]]=1,1,0)</f>
        <v>1</v>
      </c>
      <c r="AG59">
        <f>IF(AND(Attempts[[#This Row],[keystroke_pass]]=1,Attempts[[#This Row],[graphical_pass]]=1,Attempts[[#This Row],[mouse_pass]]=1),1,0)</f>
        <v>0</v>
      </c>
      <c r="AH59">
        <f>IF(AND(Attempts[[#This Row],[keystroke_pass]]=1, OR(Attempts[[#This Row],[graphical_pass]]=1, Attempts[[#This Row],[mouse_pass]]=1)), 1, 0)</f>
        <v>0</v>
      </c>
      <c r="AI59" t="str">
        <f>IF(Attempts[[#This Row],[final_result]]="logged in",Attempts[[#This Row],[login_attempt_number]],"")</f>
        <v/>
      </c>
      <c r="AJ59">
        <f>IF(AND(Attempts[[#This Row],[is_impostor]]=0,Attempts[[#This Row],[final_result]]="logged in"),1,0)</f>
        <v>0</v>
      </c>
      <c r="AK59">
        <f>IF(AND(Attempts[[#This Row],[is_impostor]]=0,Attempts[[#This Row],[final_result]]="logged in",Attempts[[#This Row],[tries_to_success]]&gt;1),1,0)</f>
        <v>0</v>
      </c>
      <c r="AL59">
        <f>IF(Attempts[[#This Row],[prompt_match]]=0,1,0)</f>
        <v>0</v>
      </c>
    </row>
    <row r="60" spans="1:38">
      <c r="A60">
        <f t="shared" si="3"/>
        <v>59</v>
      </c>
      <c r="B60" t="s">
        <v>39</v>
      </c>
      <c r="C60">
        <v>1</v>
      </c>
      <c r="D60" t="s">
        <v>28</v>
      </c>
      <c r="E60" t="s">
        <v>28</v>
      </c>
      <c r="F60" t="s">
        <v>27</v>
      </c>
      <c r="G60" t="s">
        <v>28</v>
      </c>
      <c r="H60">
        <v>17.3</v>
      </c>
      <c r="I60">
        <v>9.3919999999999995</v>
      </c>
      <c r="J60">
        <f t="shared" si="2"/>
        <v>3.9260000000000019</v>
      </c>
      <c r="K60">
        <v>3.9820000000000002</v>
      </c>
      <c r="L60">
        <v>2</v>
      </c>
      <c r="M60">
        <v>0</v>
      </c>
      <c r="N60">
        <v>1</v>
      </c>
      <c r="Q60">
        <v>0.432</v>
      </c>
      <c r="R60">
        <v>1.625</v>
      </c>
      <c r="S60">
        <v>0.69799999999999995</v>
      </c>
      <c r="T60">
        <v>1.0009999999999999</v>
      </c>
      <c r="U60">
        <v>1.7130000000000001</v>
      </c>
      <c r="V60">
        <v>0.5</v>
      </c>
      <c r="AA60">
        <f>IF(Attempts[[#This Row],[keystroke_result]]="logged in",1,0)</f>
        <v>0</v>
      </c>
      <c r="AB60">
        <f>IF(Attempts[[#This Row],[graphical_result]]="logged in",1,0)</f>
        <v>0</v>
      </c>
      <c r="AC60">
        <f>IF(Attempts[[#This Row],[mouse_result]]="logged in",1,0)</f>
        <v>1</v>
      </c>
      <c r="AD60">
        <f>IF(Attempts[[#This Row],[final_result]]="logged in",1,0)</f>
        <v>0</v>
      </c>
      <c r="AE60">
        <f>IF(Attempts[[#This Row],[is_impostor]]=0,1,0)</f>
        <v>0</v>
      </c>
      <c r="AF60">
        <f>IF(Attempts[[#This Row],[is_impostor]]=1,1,0)</f>
        <v>1</v>
      </c>
      <c r="AG60">
        <f>IF(AND(Attempts[[#This Row],[keystroke_pass]]=1,Attempts[[#This Row],[graphical_pass]]=1,Attempts[[#This Row],[mouse_pass]]=1),1,0)</f>
        <v>0</v>
      </c>
      <c r="AH60">
        <f>IF(AND(Attempts[[#This Row],[keystroke_pass]]=1, OR(Attempts[[#This Row],[graphical_pass]]=1, Attempts[[#This Row],[mouse_pass]]=1)), 1, 0)</f>
        <v>0</v>
      </c>
      <c r="AI60" t="str">
        <f>IF(Attempts[[#This Row],[final_result]]="logged in",Attempts[[#This Row],[login_attempt_number]],"")</f>
        <v/>
      </c>
      <c r="AJ60">
        <f>IF(AND(Attempts[[#This Row],[is_impostor]]=0,Attempts[[#This Row],[final_result]]="logged in"),1,0)</f>
        <v>0</v>
      </c>
      <c r="AK60">
        <f>IF(AND(Attempts[[#This Row],[is_impostor]]=0,Attempts[[#This Row],[final_result]]="logged in",Attempts[[#This Row],[tries_to_success]]&gt;1),1,0)</f>
        <v>0</v>
      </c>
      <c r="AL60">
        <f>IF(Attempts[[#This Row],[prompt_match]]=0,1,0)</f>
        <v>0</v>
      </c>
    </row>
    <row r="61" spans="1:38">
      <c r="A61">
        <f t="shared" si="3"/>
        <v>60</v>
      </c>
      <c r="B61" t="s">
        <v>39</v>
      </c>
      <c r="C61">
        <v>1</v>
      </c>
      <c r="D61" t="s">
        <v>28</v>
      </c>
      <c r="E61" t="s">
        <v>27</v>
      </c>
      <c r="F61" t="s">
        <v>28</v>
      </c>
      <c r="G61" t="s">
        <v>28</v>
      </c>
      <c r="H61">
        <v>16.606000000000002</v>
      </c>
      <c r="I61">
        <v>10.006</v>
      </c>
      <c r="J61">
        <f t="shared" si="2"/>
        <v>3.522000000000002</v>
      </c>
      <c r="K61">
        <v>3.0779999999999998</v>
      </c>
      <c r="L61">
        <v>1</v>
      </c>
      <c r="M61">
        <v>0</v>
      </c>
      <c r="N61">
        <v>1</v>
      </c>
      <c r="O61" t="s">
        <v>40</v>
      </c>
      <c r="P61" t="s">
        <v>31</v>
      </c>
      <c r="Q61">
        <v>0.56699999999999995</v>
      </c>
      <c r="R61">
        <v>1.7410000000000001</v>
      </c>
      <c r="S61">
        <v>0.63800000000000001</v>
      </c>
      <c r="T61">
        <v>1.375</v>
      </c>
      <c r="U61">
        <v>1.9830000000000001</v>
      </c>
      <c r="V61">
        <v>0.42099999999999999</v>
      </c>
      <c r="AA61">
        <f>IF(Attempts[[#This Row],[keystroke_result]]="logged in",1,0)</f>
        <v>0</v>
      </c>
      <c r="AB61">
        <f>IF(Attempts[[#This Row],[graphical_result]]="logged in",1,0)</f>
        <v>1</v>
      </c>
      <c r="AC61">
        <f>IF(Attempts[[#This Row],[mouse_result]]="logged in",1,0)</f>
        <v>0</v>
      </c>
      <c r="AD61">
        <f>IF(Attempts[[#This Row],[final_result]]="logged in",1,0)</f>
        <v>0</v>
      </c>
      <c r="AE61">
        <f>IF(Attempts[[#This Row],[is_impostor]]=0,1,0)</f>
        <v>0</v>
      </c>
      <c r="AF61">
        <f>IF(Attempts[[#This Row],[is_impostor]]=1,1,0)</f>
        <v>1</v>
      </c>
      <c r="AG61">
        <f>IF(AND(Attempts[[#This Row],[keystroke_pass]]=1,Attempts[[#This Row],[graphical_pass]]=1,Attempts[[#This Row],[mouse_pass]]=1),1,0)</f>
        <v>0</v>
      </c>
      <c r="AH61">
        <f>IF(AND(Attempts[[#This Row],[keystroke_pass]]=1, OR(Attempts[[#This Row],[graphical_pass]]=1, Attempts[[#This Row],[mouse_pass]]=1)), 1, 0)</f>
        <v>0</v>
      </c>
      <c r="AI61" t="str">
        <f>IF(Attempts[[#This Row],[final_result]]="logged in",Attempts[[#This Row],[login_attempt_number]],"")</f>
        <v/>
      </c>
      <c r="AJ61">
        <f>IF(AND(Attempts[[#This Row],[is_impostor]]=0,Attempts[[#This Row],[final_result]]="logged in"),1,0)</f>
        <v>0</v>
      </c>
      <c r="AK61">
        <f>IF(AND(Attempts[[#This Row],[is_impostor]]=0,Attempts[[#This Row],[final_result]]="logged in",Attempts[[#This Row],[tries_to_success]]&gt;1),1,0)</f>
        <v>0</v>
      </c>
      <c r="AL61">
        <f>IF(Attempts[[#This Row],[prompt_match]]=0,1,0)</f>
        <v>0</v>
      </c>
    </row>
    <row r="62" spans="1:38">
      <c r="A62">
        <f t="shared" si="3"/>
        <v>61</v>
      </c>
      <c r="B62" t="s">
        <v>26</v>
      </c>
      <c r="C62">
        <v>0</v>
      </c>
      <c r="D62" t="s">
        <v>27</v>
      </c>
      <c r="E62" t="s">
        <v>27</v>
      </c>
      <c r="F62" t="s">
        <v>27</v>
      </c>
      <c r="G62" t="s">
        <v>27</v>
      </c>
      <c r="H62">
        <v>11.58</v>
      </c>
      <c r="I62">
        <v>6.0410000000000004</v>
      </c>
      <c r="J62">
        <f t="shared" si="2"/>
        <v>2.8819999999999997</v>
      </c>
      <c r="K62">
        <v>2.657</v>
      </c>
      <c r="L62">
        <v>1</v>
      </c>
      <c r="M62">
        <v>0</v>
      </c>
      <c r="N62">
        <v>1</v>
      </c>
      <c r="O62" t="s">
        <v>29</v>
      </c>
      <c r="P62" t="s">
        <v>30</v>
      </c>
      <c r="Q62">
        <v>0.26500000000000001</v>
      </c>
      <c r="R62">
        <v>0.32200000000000001</v>
      </c>
      <c r="S62">
        <v>0.79100000000000004</v>
      </c>
      <c r="T62">
        <v>0.55900000000000005</v>
      </c>
      <c r="U62">
        <v>0.94499999999999995</v>
      </c>
      <c r="V62">
        <v>0.64100000000000001</v>
      </c>
      <c r="AA62">
        <f>IF(Attempts[[#This Row],[keystroke_result]]="logged in",1,0)</f>
        <v>1</v>
      </c>
      <c r="AB62">
        <f>IF(Attempts[[#This Row],[graphical_result]]="logged in",1,0)</f>
        <v>1</v>
      </c>
      <c r="AC62">
        <f>IF(Attempts[[#This Row],[mouse_result]]="logged in",1,0)</f>
        <v>1</v>
      </c>
      <c r="AD62">
        <f>IF(Attempts[[#This Row],[final_result]]="logged in",1,0)</f>
        <v>1</v>
      </c>
      <c r="AE62">
        <f>IF(Attempts[[#This Row],[is_impostor]]=0,1,0)</f>
        <v>1</v>
      </c>
      <c r="AF62">
        <f>IF(Attempts[[#This Row],[is_impostor]]=1,1,0)</f>
        <v>0</v>
      </c>
      <c r="AG62">
        <f>IF(AND(Attempts[[#This Row],[keystroke_pass]]=1,Attempts[[#This Row],[graphical_pass]]=1,Attempts[[#This Row],[mouse_pass]]=1),1,0)</f>
        <v>1</v>
      </c>
      <c r="AH62">
        <f>IF(AND(Attempts[[#This Row],[keystroke_pass]]=1, OR(Attempts[[#This Row],[graphical_pass]]=1, Attempts[[#This Row],[mouse_pass]]=1)), 1, 0)</f>
        <v>1</v>
      </c>
      <c r="AI62">
        <f>IF(Attempts[[#This Row],[final_result]]="logged in",Attempts[[#This Row],[login_attempt_number]],"")</f>
        <v>1</v>
      </c>
      <c r="AJ62">
        <f>IF(AND(Attempts[[#This Row],[is_impostor]]=0,Attempts[[#This Row],[final_result]]="logged in"),1,0)</f>
        <v>1</v>
      </c>
      <c r="AK62">
        <f>IF(AND(Attempts[[#This Row],[is_impostor]]=0,Attempts[[#This Row],[final_result]]="logged in",Attempts[[#This Row],[tries_to_success]]&gt;1),1,0)</f>
        <v>0</v>
      </c>
      <c r="AL62">
        <f>IF(Attempts[[#This Row],[prompt_match]]=0,1,0)</f>
        <v>0</v>
      </c>
    </row>
    <row r="63" spans="1:38">
      <c r="A63">
        <f t="shared" si="3"/>
        <v>62</v>
      </c>
      <c r="B63" t="s">
        <v>26</v>
      </c>
      <c r="C63">
        <v>0</v>
      </c>
      <c r="D63" t="s">
        <v>27</v>
      </c>
      <c r="E63" t="s">
        <v>27</v>
      </c>
      <c r="F63" t="s">
        <v>27</v>
      </c>
      <c r="G63" t="s">
        <v>27</v>
      </c>
      <c r="H63">
        <v>13.926</v>
      </c>
      <c r="I63">
        <v>7.1710000000000003</v>
      </c>
      <c r="J63">
        <f t="shared" si="2"/>
        <v>3.5250000000000004</v>
      </c>
      <c r="K63">
        <v>3.23</v>
      </c>
      <c r="L63">
        <v>1</v>
      </c>
      <c r="M63">
        <v>0</v>
      </c>
      <c r="N63">
        <v>1</v>
      </c>
      <c r="O63" t="s">
        <v>29</v>
      </c>
      <c r="P63" t="s">
        <v>30</v>
      </c>
      <c r="Q63">
        <v>0.159</v>
      </c>
      <c r="R63">
        <v>0.20599999999999999</v>
      </c>
      <c r="S63">
        <v>0.86299999999999999</v>
      </c>
      <c r="T63">
        <v>0.67800000000000005</v>
      </c>
      <c r="U63">
        <v>0.98799999999999999</v>
      </c>
      <c r="V63">
        <v>0.59599999999999997</v>
      </c>
      <c r="AA63">
        <f>IF(Attempts[[#This Row],[keystroke_result]]="logged in",1,0)</f>
        <v>1</v>
      </c>
      <c r="AB63">
        <f>IF(Attempts[[#This Row],[graphical_result]]="logged in",1,0)</f>
        <v>1</v>
      </c>
      <c r="AC63">
        <f>IF(Attempts[[#This Row],[mouse_result]]="logged in",1,0)</f>
        <v>1</v>
      </c>
      <c r="AD63">
        <f>IF(Attempts[[#This Row],[final_result]]="logged in",1,0)</f>
        <v>1</v>
      </c>
      <c r="AE63">
        <f>IF(Attempts[[#This Row],[is_impostor]]=0,1,0)</f>
        <v>1</v>
      </c>
      <c r="AF63">
        <f>IF(Attempts[[#This Row],[is_impostor]]=1,1,0)</f>
        <v>0</v>
      </c>
      <c r="AG63">
        <f>IF(AND(Attempts[[#This Row],[keystroke_pass]]=1,Attempts[[#This Row],[graphical_pass]]=1,Attempts[[#This Row],[mouse_pass]]=1),1,0)</f>
        <v>1</v>
      </c>
      <c r="AH63">
        <f>IF(AND(Attempts[[#This Row],[keystroke_pass]]=1, OR(Attempts[[#This Row],[graphical_pass]]=1, Attempts[[#This Row],[mouse_pass]]=1)), 1, 0)</f>
        <v>1</v>
      </c>
      <c r="AI63">
        <f>IF(Attempts[[#This Row],[final_result]]="logged in",Attempts[[#This Row],[login_attempt_number]],"")</f>
        <v>1</v>
      </c>
      <c r="AJ63">
        <f>IF(AND(Attempts[[#This Row],[is_impostor]]=0,Attempts[[#This Row],[final_result]]="logged in"),1,0)</f>
        <v>1</v>
      </c>
      <c r="AK63">
        <f>IF(AND(Attempts[[#This Row],[is_impostor]]=0,Attempts[[#This Row],[final_result]]="logged in",Attempts[[#This Row],[tries_to_success]]&gt;1),1,0)</f>
        <v>0</v>
      </c>
      <c r="AL63">
        <f>IF(Attempts[[#This Row],[prompt_match]]=0,1,0)</f>
        <v>0</v>
      </c>
    </row>
    <row r="64" spans="1:38">
      <c r="A64">
        <f t="shared" si="3"/>
        <v>63</v>
      </c>
      <c r="B64" t="s">
        <v>26</v>
      </c>
      <c r="C64">
        <v>0</v>
      </c>
      <c r="D64" t="s">
        <v>27</v>
      </c>
      <c r="E64" t="s">
        <v>27</v>
      </c>
      <c r="F64" t="s">
        <v>27</v>
      </c>
      <c r="G64" t="s">
        <v>27</v>
      </c>
      <c r="H64">
        <v>10.315</v>
      </c>
      <c r="I64">
        <v>4.9980000000000002</v>
      </c>
      <c r="J64">
        <f t="shared" si="2"/>
        <v>2.8819999999999997</v>
      </c>
      <c r="K64">
        <v>2.4350000000000001</v>
      </c>
      <c r="L64">
        <v>1</v>
      </c>
      <c r="M64">
        <v>0</v>
      </c>
      <c r="N64">
        <v>1</v>
      </c>
      <c r="O64" t="s">
        <v>29</v>
      </c>
      <c r="P64" t="s">
        <v>30</v>
      </c>
      <c r="Q64">
        <v>0.373</v>
      </c>
      <c r="R64">
        <v>0.50700000000000001</v>
      </c>
      <c r="S64">
        <v>0.72799999999999998</v>
      </c>
      <c r="T64">
        <v>0.59699999999999998</v>
      </c>
      <c r="U64">
        <v>1.056</v>
      </c>
      <c r="V64">
        <v>0.626</v>
      </c>
      <c r="AA64">
        <f>IF(Attempts[[#This Row],[keystroke_result]]="logged in",1,0)</f>
        <v>1</v>
      </c>
      <c r="AB64">
        <f>IF(Attempts[[#This Row],[graphical_result]]="logged in",1,0)</f>
        <v>1</v>
      </c>
      <c r="AC64">
        <f>IF(Attempts[[#This Row],[mouse_result]]="logged in",1,0)</f>
        <v>1</v>
      </c>
      <c r="AD64">
        <f>IF(Attempts[[#This Row],[final_result]]="logged in",1,0)</f>
        <v>1</v>
      </c>
      <c r="AE64">
        <f>IF(Attempts[[#This Row],[is_impostor]]=0,1,0)</f>
        <v>1</v>
      </c>
      <c r="AF64">
        <f>IF(Attempts[[#This Row],[is_impostor]]=1,1,0)</f>
        <v>0</v>
      </c>
      <c r="AG64">
        <f>IF(AND(Attempts[[#This Row],[keystroke_pass]]=1,Attempts[[#This Row],[graphical_pass]]=1,Attempts[[#This Row],[mouse_pass]]=1),1,0)</f>
        <v>1</v>
      </c>
      <c r="AH64">
        <f>IF(AND(Attempts[[#This Row],[keystroke_pass]]=1, OR(Attempts[[#This Row],[graphical_pass]]=1, Attempts[[#This Row],[mouse_pass]]=1)), 1, 0)</f>
        <v>1</v>
      </c>
      <c r="AI64">
        <f>IF(Attempts[[#This Row],[final_result]]="logged in",Attempts[[#This Row],[login_attempt_number]],"")</f>
        <v>1</v>
      </c>
      <c r="AJ64">
        <f>IF(AND(Attempts[[#This Row],[is_impostor]]=0,Attempts[[#This Row],[final_result]]="logged in"),1,0)</f>
        <v>1</v>
      </c>
      <c r="AK64">
        <f>IF(AND(Attempts[[#This Row],[is_impostor]]=0,Attempts[[#This Row],[final_result]]="logged in",Attempts[[#This Row],[tries_to_success]]&gt;1),1,0)</f>
        <v>0</v>
      </c>
      <c r="AL64">
        <f>IF(Attempts[[#This Row],[prompt_match]]=0,1,0)</f>
        <v>0</v>
      </c>
    </row>
    <row r="65" spans="1:38">
      <c r="A65">
        <f t="shared" si="3"/>
        <v>64</v>
      </c>
      <c r="B65" t="s">
        <v>26</v>
      </c>
      <c r="C65">
        <v>0</v>
      </c>
      <c r="D65" t="s">
        <v>27</v>
      </c>
      <c r="E65" t="s">
        <v>27</v>
      </c>
      <c r="F65" t="s">
        <v>27</v>
      </c>
      <c r="G65" t="s">
        <v>27</v>
      </c>
      <c r="H65">
        <v>10.271000000000001</v>
      </c>
      <c r="I65">
        <v>5.2619999999999996</v>
      </c>
      <c r="J65">
        <f t="shared" si="2"/>
        <v>2.3000000000000007</v>
      </c>
      <c r="K65">
        <v>2.7090000000000001</v>
      </c>
      <c r="L65">
        <v>1</v>
      </c>
      <c r="M65">
        <v>0</v>
      </c>
      <c r="N65">
        <v>1</v>
      </c>
      <c r="O65" t="s">
        <v>29</v>
      </c>
      <c r="P65" t="s">
        <v>30</v>
      </c>
      <c r="Q65">
        <v>0.28699999999999998</v>
      </c>
      <c r="R65">
        <v>0.36699999999999999</v>
      </c>
      <c r="S65">
        <v>0.77700000000000002</v>
      </c>
      <c r="T65">
        <v>0.61599999999999999</v>
      </c>
      <c r="U65">
        <v>1.0209999999999999</v>
      </c>
      <c r="V65">
        <v>0.61899999999999999</v>
      </c>
      <c r="AA65">
        <f>IF(Attempts[[#This Row],[keystroke_result]]="logged in",1,0)</f>
        <v>1</v>
      </c>
      <c r="AB65">
        <f>IF(Attempts[[#This Row],[graphical_result]]="logged in",1,0)</f>
        <v>1</v>
      </c>
      <c r="AC65">
        <f>IF(Attempts[[#This Row],[mouse_result]]="logged in",1,0)</f>
        <v>1</v>
      </c>
      <c r="AD65">
        <f>IF(Attempts[[#This Row],[final_result]]="logged in",1,0)</f>
        <v>1</v>
      </c>
      <c r="AE65">
        <f>IF(Attempts[[#This Row],[is_impostor]]=0,1,0)</f>
        <v>1</v>
      </c>
      <c r="AF65">
        <f>IF(Attempts[[#This Row],[is_impostor]]=1,1,0)</f>
        <v>0</v>
      </c>
      <c r="AG65">
        <f>IF(AND(Attempts[[#This Row],[keystroke_pass]]=1,Attempts[[#This Row],[graphical_pass]]=1,Attempts[[#This Row],[mouse_pass]]=1),1,0)</f>
        <v>1</v>
      </c>
      <c r="AH65">
        <f>IF(AND(Attempts[[#This Row],[keystroke_pass]]=1, OR(Attempts[[#This Row],[graphical_pass]]=1, Attempts[[#This Row],[mouse_pass]]=1)), 1, 0)</f>
        <v>1</v>
      </c>
      <c r="AI65">
        <f>IF(Attempts[[#This Row],[final_result]]="logged in",Attempts[[#This Row],[login_attempt_number]],"")</f>
        <v>1</v>
      </c>
      <c r="AJ65">
        <f>IF(AND(Attempts[[#This Row],[is_impostor]]=0,Attempts[[#This Row],[final_result]]="logged in"),1,0)</f>
        <v>1</v>
      </c>
      <c r="AK65">
        <f>IF(AND(Attempts[[#This Row],[is_impostor]]=0,Attempts[[#This Row],[final_result]]="logged in",Attempts[[#This Row],[tries_to_success]]&gt;1),1,0)</f>
        <v>0</v>
      </c>
      <c r="AL65">
        <f>IF(Attempts[[#This Row],[prompt_match]]=0,1,0)</f>
        <v>0</v>
      </c>
    </row>
    <row r="66" spans="1:38">
      <c r="A66">
        <f t="shared" si="3"/>
        <v>65</v>
      </c>
      <c r="B66" t="s">
        <v>26</v>
      </c>
      <c r="C66">
        <v>0</v>
      </c>
      <c r="D66" t="s">
        <v>27</v>
      </c>
      <c r="E66" t="s">
        <v>27</v>
      </c>
      <c r="F66" t="s">
        <v>27</v>
      </c>
      <c r="G66" t="s">
        <v>27</v>
      </c>
      <c r="H66">
        <v>10.462</v>
      </c>
      <c r="I66">
        <v>4.7830000000000004</v>
      </c>
      <c r="J66">
        <f t="shared" ref="J66:J97" si="4">H66-(I66+K66)</f>
        <v>2.7829999999999995</v>
      </c>
      <c r="K66">
        <v>2.8959999999999999</v>
      </c>
      <c r="L66">
        <v>1</v>
      </c>
      <c r="M66">
        <v>0</v>
      </c>
      <c r="N66">
        <v>1</v>
      </c>
      <c r="O66" t="s">
        <v>29</v>
      </c>
      <c r="P66" t="s">
        <v>30</v>
      </c>
      <c r="Q66">
        <v>0.33700000000000002</v>
      </c>
      <c r="R66">
        <v>0.38200000000000001</v>
      </c>
      <c r="S66">
        <v>0.748</v>
      </c>
      <c r="T66">
        <v>0.55800000000000005</v>
      </c>
      <c r="U66">
        <v>1.006</v>
      </c>
      <c r="V66">
        <v>0.64200000000000002</v>
      </c>
      <c r="AA66">
        <f>IF(Attempts[[#This Row],[keystroke_result]]="logged in",1,0)</f>
        <v>1</v>
      </c>
      <c r="AB66">
        <f>IF(Attempts[[#This Row],[graphical_result]]="logged in",1,0)</f>
        <v>1</v>
      </c>
      <c r="AC66">
        <f>IF(Attempts[[#This Row],[mouse_result]]="logged in",1,0)</f>
        <v>1</v>
      </c>
      <c r="AD66">
        <f>IF(Attempts[[#This Row],[final_result]]="logged in",1,0)</f>
        <v>1</v>
      </c>
      <c r="AE66">
        <f>IF(Attempts[[#This Row],[is_impostor]]=0,1,0)</f>
        <v>1</v>
      </c>
      <c r="AF66">
        <f>IF(Attempts[[#This Row],[is_impostor]]=1,1,0)</f>
        <v>0</v>
      </c>
      <c r="AG66">
        <f>IF(AND(Attempts[[#This Row],[keystroke_pass]]=1,Attempts[[#This Row],[graphical_pass]]=1,Attempts[[#This Row],[mouse_pass]]=1),1,0)</f>
        <v>1</v>
      </c>
      <c r="AH66">
        <f>IF(AND(Attempts[[#This Row],[keystroke_pass]]=1, OR(Attempts[[#This Row],[graphical_pass]]=1, Attempts[[#This Row],[mouse_pass]]=1)), 1, 0)</f>
        <v>1</v>
      </c>
      <c r="AI66">
        <f>IF(Attempts[[#This Row],[final_result]]="logged in",Attempts[[#This Row],[login_attempt_number]],"")</f>
        <v>1</v>
      </c>
      <c r="AJ66">
        <f>IF(AND(Attempts[[#This Row],[is_impostor]]=0,Attempts[[#This Row],[final_result]]="logged in"),1,0)</f>
        <v>1</v>
      </c>
      <c r="AK66">
        <f>IF(AND(Attempts[[#This Row],[is_impostor]]=0,Attempts[[#This Row],[final_result]]="logged in",Attempts[[#This Row],[tries_to_success]]&gt;1),1,0)</f>
        <v>0</v>
      </c>
      <c r="AL66">
        <f>IF(Attempts[[#This Row],[prompt_match]]=0,1,0)</f>
        <v>0</v>
      </c>
    </row>
    <row r="67" spans="1:38">
      <c r="A67">
        <f t="shared" ref="A67:A98" si="5">A66+1</f>
        <v>66</v>
      </c>
      <c r="B67" t="s">
        <v>26</v>
      </c>
      <c r="C67">
        <v>0</v>
      </c>
      <c r="D67" t="s">
        <v>27</v>
      </c>
      <c r="E67" t="s">
        <v>27</v>
      </c>
      <c r="F67" t="s">
        <v>27</v>
      </c>
      <c r="G67" t="s">
        <v>27</v>
      </c>
      <c r="H67">
        <v>13.728999999999999</v>
      </c>
      <c r="I67">
        <v>7.3390000000000004</v>
      </c>
      <c r="J67">
        <f t="shared" si="4"/>
        <v>3.3379999999999992</v>
      </c>
      <c r="K67">
        <v>3.052</v>
      </c>
      <c r="L67">
        <v>1</v>
      </c>
      <c r="M67">
        <v>0</v>
      </c>
      <c r="N67">
        <v>1</v>
      </c>
      <c r="O67" t="s">
        <v>29</v>
      </c>
      <c r="P67" t="s">
        <v>30</v>
      </c>
      <c r="Q67">
        <v>0.13600000000000001</v>
      </c>
      <c r="R67">
        <v>0.308</v>
      </c>
      <c r="S67">
        <v>0.88</v>
      </c>
      <c r="T67">
        <v>0.65500000000000003</v>
      </c>
      <c r="U67">
        <v>1.0089999999999999</v>
      </c>
      <c r="V67">
        <v>0.60399999999999998</v>
      </c>
      <c r="AA67">
        <f>IF(Attempts[[#This Row],[keystroke_result]]="logged in",1,0)</f>
        <v>1</v>
      </c>
      <c r="AB67">
        <f>IF(Attempts[[#This Row],[graphical_result]]="logged in",1,0)</f>
        <v>1</v>
      </c>
      <c r="AC67">
        <f>IF(Attempts[[#This Row],[mouse_result]]="logged in",1,0)</f>
        <v>1</v>
      </c>
      <c r="AD67">
        <f>IF(Attempts[[#This Row],[final_result]]="logged in",1,0)</f>
        <v>1</v>
      </c>
      <c r="AE67">
        <f>IF(Attempts[[#This Row],[is_impostor]]=0,1,0)</f>
        <v>1</v>
      </c>
      <c r="AF67">
        <f>IF(Attempts[[#This Row],[is_impostor]]=1,1,0)</f>
        <v>0</v>
      </c>
      <c r="AG67">
        <f>IF(AND(Attempts[[#This Row],[keystroke_pass]]=1,Attempts[[#This Row],[graphical_pass]]=1,Attempts[[#This Row],[mouse_pass]]=1),1,0)</f>
        <v>1</v>
      </c>
      <c r="AH67">
        <f>IF(AND(Attempts[[#This Row],[keystroke_pass]]=1, OR(Attempts[[#This Row],[graphical_pass]]=1, Attempts[[#This Row],[mouse_pass]]=1)), 1, 0)</f>
        <v>1</v>
      </c>
      <c r="AI67">
        <f>IF(Attempts[[#This Row],[final_result]]="logged in",Attempts[[#This Row],[login_attempt_number]],"")</f>
        <v>1</v>
      </c>
      <c r="AJ67">
        <f>IF(AND(Attempts[[#This Row],[is_impostor]]=0,Attempts[[#This Row],[final_result]]="logged in"),1,0)</f>
        <v>1</v>
      </c>
      <c r="AK67">
        <f>IF(AND(Attempts[[#This Row],[is_impostor]]=0,Attempts[[#This Row],[final_result]]="logged in",Attempts[[#This Row],[tries_to_success]]&gt;1),1,0)</f>
        <v>0</v>
      </c>
      <c r="AL67">
        <f>IF(Attempts[[#This Row],[prompt_match]]=0,1,0)</f>
        <v>0</v>
      </c>
    </row>
    <row r="68" spans="1:38">
      <c r="A68">
        <f t="shared" si="5"/>
        <v>67</v>
      </c>
      <c r="B68" t="s">
        <v>26</v>
      </c>
      <c r="C68">
        <v>0</v>
      </c>
      <c r="D68" t="s">
        <v>27</v>
      </c>
      <c r="E68" t="s">
        <v>27</v>
      </c>
      <c r="F68" t="s">
        <v>27</v>
      </c>
      <c r="G68" t="s">
        <v>27</v>
      </c>
      <c r="H68">
        <v>14.09</v>
      </c>
      <c r="I68">
        <v>7.1020000000000003</v>
      </c>
      <c r="J68">
        <f t="shared" si="4"/>
        <v>4.0960000000000001</v>
      </c>
      <c r="K68">
        <v>2.8919999999999999</v>
      </c>
      <c r="L68">
        <v>1</v>
      </c>
      <c r="M68">
        <v>0</v>
      </c>
      <c r="N68">
        <v>1</v>
      </c>
      <c r="O68" t="s">
        <v>29</v>
      </c>
      <c r="P68" t="s">
        <v>30</v>
      </c>
      <c r="Q68">
        <v>0.129</v>
      </c>
      <c r="R68">
        <v>0.42</v>
      </c>
      <c r="S68">
        <v>0.88600000000000001</v>
      </c>
      <c r="T68">
        <v>0.57699999999999996</v>
      </c>
      <c r="U68">
        <v>1.022</v>
      </c>
      <c r="V68">
        <v>0.63400000000000001</v>
      </c>
      <c r="AA68">
        <f>IF(Attempts[[#This Row],[keystroke_result]]="logged in",1,0)</f>
        <v>1</v>
      </c>
      <c r="AB68">
        <f>IF(Attempts[[#This Row],[graphical_result]]="logged in",1,0)</f>
        <v>1</v>
      </c>
      <c r="AC68">
        <f>IF(Attempts[[#This Row],[mouse_result]]="logged in",1,0)</f>
        <v>1</v>
      </c>
      <c r="AD68">
        <f>IF(Attempts[[#This Row],[final_result]]="logged in",1,0)</f>
        <v>1</v>
      </c>
      <c r="AE68">
        <f>IF(Attempts[[#This Row],[is_impostor]]=0,1,0)</f>
        <v>1</v>
      </c>
      <c r="AF68">
        <f>IF(Attempts[[#This Row],[is_impostor]]=1,1,0)</f>
        <v>0</v>
      </c>
      <c r="AG68">
        <f>IF(AND(Attempts[[#This Row],[keystroke_pass]]=1,Attempts[[#This Row],[graphical_pass]]=1,Attempts[[#This Row],[mouse_pass]]=1),1,0)</f>
        <v>1</v>
      </c>
      <c r="AH68">
        <f>IF(AND(Attempts[[#This Row],[keystroke_pass]]=1, OR(Attempts[[#This Row],[graphical_pass]]=1, Attempts[[#This Row],[mouse_pass]]=1)), 1, 0)</f>
        <v>1</v>
      </c>
      <c r="AI68">
        <f>IF(Attempts[[#This Row],[final_result]]="logged in",Attempts[[#This Row],[login_attempt_number]],"")</f>
        <v>1</v>
      </c>
      <c r="AJ68">
        <f>IF(AND(Attempts[[#This Row],[is_impostor]]=0,Attempts[[#This Row],[final_result]]="logged in"),1,0)</f>
        <v>1</v>
      </c>
      <c r="AK68">
        <f>IF(AND(Attempts[[#This Row],[is_impostor]]=0,Attempts[[#This Row],[final_result]]="logged in",Attempts[[#This Row],[tries_to_success]]&gt;1),1,0)</f>
        <v>0</v>
      </c>
      <c r="AL68">
        <f>IF(Attempts[[#This Row],[prompt_match]]=0,1,0)</f>
        <v>0</v>
      </c>
    </row>
    <row r="69" spans="1:38">
      <c r="A69">
        <f t="shared" si="5"/>
        <v>68</v>
      </c>
      <c r="B69" t="s">
        <v>26</v>
      </c>
      <c r="C69">
        <v>0</v>
      </c>
      <c r="D69" t="s">
        <v>27</v>
      </c>
      <c r="E69" t="s">
        <v>27</v>
      </c>
      <c r="F69" t="s">
        <v>27</v>
      </c>
      <c r="G69" t="s">
        <v>27</v>
      </c>
      <c r="H69">
        <v>12.632</v>
      </c>
      <c r="I69">
        <v>6.0780000000000003</v>
      </c>
      <c r="J69">
        <f t="shared" si="4"/>
        <v>3.4189999999999987</v>
      </c>
      <c r="K69">
        <v>3.1349999999999998</v>
      </c>
      <c r="L69">
        <v>1</v>
      </c>
      <c r="M69">
        <v>0</v>
      </c>
      <c r="N69">
        <v>1</v>
      </c>
      <c r="O69" t="s">
        <v>29</v>
      </c>
      <c r="P69" t="s">
        <v>30</v>
      </c>
      <c r="Q69">
        <v>0.17899999999999999</v>
      </c>
      <c r="R69">
        <v>0.314</v>
      </c>
      <c r="S69">
        <v>0.84799999999999998</v>
      </c>
      <c r="T69">
        <v>0.53100000000000003</v>
      </c>
      <c r="U69">
        <v>1.016</v>
      </c>
      <c r="V69">
        <v>0.65300000000000002</v>
      </c>
      <c r="AA69">
        <f>IF(Attempts[[#This Row],[keystroke_result]]="logged in",1,0)</f>
        <v>1</v>
      </c>
      <c r="AB69">
        <f>IF(Attempts[[#This Row],[graphical_result]]="logged in",1,0)</f>
        <v>1</v>
      </c>
      <c r="AC69">
        <f>IF(Attempts[[#This Row],[mouse_result]]="logged in",1,0)</f>
        <v>1</v>
      </c>
      <c r="AD69">
        <f>IF(Attempts[[#This Row],[final_result]]="logged in",1,0)</f>
        <v>1</v>
      </c>
      <c r="AE69">
        <f>IF(Attempts[[#This Row],[is_impostor]]=0,1,0)</f>
        <v>1</v>
      </c>
      <c r="AF69">
        <f>IF(Attempts[[#This Row],[is_impostor]]=1,1,0)</f>
        <v>0</v>
      </c>
      <c r="AG69">
        <f>IF(AND(Attempts[[#This Row],[keystroke_pass]]=1,Attempts[[#This Row],[graphical_pass]]=1,Attempts[[#This Row],[mouse_pass]]=1),1,0)</f>
        <v>1</v>
      </c>
      <c r="AH69">
        <f>IF(AND(Attempts[[#This Row],[keystroke_pass]]=1, OR(Attempts[[#This Row],[graphical_pass]]=1, Attempts[[#This Row],[mouse_pass]]=1)), 1, 0)</f>
        <v>1</v>
      </c>
      <c r="AI69">
        <f>IF(Attempts[[#This Row],[final_result]]="logged in",Attempts[[#This Row],[login_attempt_number]],"")</f>
        <v>1</v>
      </c>
      <c r="AJ69">
        <f>IF(AND(Attempts[[#This Row],[is_impostor]]=0,Attempts[[#This Row],[final_result]]="logged in"),1,0)</f>
        <v>1</v>
      </c>
      <c r="AK69">
        <f>IF(AND(Attempts[[#This Row],[is_impostor]]=0,Attempts[[#This Row],[final_result]]="logged in",Attempts[[#This Row],[tries_to_success]]&gt;1),1,0)</f>
        <v>0</v>
      </c>
      <c r="AL69">
        <f>IF(Attempts[[#This Row],[prompt_match]]=0,1,0)</f>
        <v>0</v>
      </c>
    </row>
    <row r="70" spans="1:38">
      <c r="A70">
        <f t="shared" si="5"/>
        <v>69</v>
      </c>
      <c r="B70" t="s">
        <v>26</v>
      </c>
      <c r="C70">
        <v>0</v>
      </c>
      <c r="D70" t="s">
        <v>27</v>
      </c>
      <c r="E70" t="s">
        <v>27</v>
      </c>
      <c r="F70" t="s">
        <v>27</v>
      </c>
      <c r="G70" t="s">
        <v>27</v>
      </c>
      <c r="H70">
        <v>13.798999999999999</v>
      </c>
      <c r="I70">
        <v>7.1189999999999998</v>
      </c>
      <c r="J70">
        <f t="shared" si="4"/>
        <v>3.4269999999999996</v>
      </c>
      <c r="K70">
        <v>3.2530000000000001</v>
      </c>
      <c r="L70">
        <v>1</v>
      </c>
      <c r="M70">
        <v>0</v>
      </c>
      <c r="N70">
        <v>1</v>
      </c>
      <c r="O70" t="s">
        <v>29</v>
      </c>
      <c r="P70" t="s">
        <v>30</v>
      </c>
      <c r="Q70">
        <v>0.22800000000000001</v>
      </c>
      <c r="R70">
        <v>0.33400000000000002</v>
      </c>
      <c r="S70">
        <v>0.81499999999999995</v>
      </c>
      <c r="T70">
        <v>0.57199999999999995</v>
      </c>
      <c r="U70">
        <v>0.93799999999999994</v>
      </c>
      <c r="V70">
        <v>0.63600000000000001</v>
      </c>
      <c r="AA70">
        <f>IF(Attempts[[#This Row],[keystroke_result]]="logged in",1,0)</f>
        <v>1</v>
      </c>
      <c r="AB70">
        <f>IF(Attempts[[#This Row],[graphical_result]]="logged in",1,0)</f>
        <v>1</v>
      </c>
      <c r="AC70">
        <f>IF(Attempts[[#This Row],[mouse_result]]="logged in",1,0)</f>
        <v>1</v>
      </c>
      <c r="AD70">
        <f>IF(Attempts[[#This Row],[final_result]]="logged in",1,0)</f>
        <v>1</v>
      </c>
      <c r="AE70">
        <f>IF(Attempts[[#This Row],[is_impostor]]=0,1,0)</f>
        <v>1</v>
      </c>
      <c r="AF70">
        <f>IF(Attempts[[#This Row],[is_impostor]]=1,1,0)</f>
        <v>0</v>
      </c>
      <c r="AG70">
        <f>IF(AND(Attempts[[#This Row],[keystroke_pass]]=1,Attempts[[#This Row],[graphical_pass]]=1,Attempts[[#This Row],[mouse_pass]]=1),1,0)</f>
        <v>1</v>
      </c>
      <c r="AH70">
        <f>IF(AND(Attempts[[#This Row],[keystroke_pass]]=1, OR(Attempts[[#This Row],[graphical_pass]]=1, Attempts[[#This Row],[mouse_pass]]=1)), 1, 0)</f>
        <v>1</v>
      </c>
      <c r="AI70">
        <f>IF(Attempts[[#This Row],[final_result]]="logged in",Attempts[[#This Row],[login_attempt_number]],"")</f>
        <v>1</v>
      </c>
      <c r="AJ70">
        <f>IF(AND(Attempts[[#This Row],[is_impostor]]=0,Attempts[[#This Row],[final_result]]="logged in"),1,0)</f>
        <v>1</v>
      </c>
      <c r="AK70">
        <f>IF(AND(Attempts[[#This Row],[is_impostor]]=0,Attempts[[#This Row],[final_result]]="logged in",Attempts[[#This Row],[tries_to_success]]&gt;1),1,0)</f>
        <v>0</v>
      </c>
      <c r="AL70">
        <f>IF(Attempts[[#This Row],[prompt_match]]=0,1,0)</f>
        <v>0</v>
      </c>
    </row>
    <row r="71" spans="1:38">
      <c r="A71">
        <f t="shared" si="5"/>
        <v>70</v>
      </c>
      <c r="B71" t="s">
        <v>150</v>
      </c>
      <c r="C71">
        <v>0</v>
      </c>
      <c r="D71" t="s">
        <v>27</v>
      </c>
      <c r="E71" t="s">
        <v>27</v>
      </c>
      <c r="F71" t="s">
        <v>27</v>
      </c>
      <c r="G71" t="s">
        <v>27</v>
      </c>
      <c r="H71">
        <v>16.202000000000002</v>
      </c>
      <c r="I71">
        <v>8.6229999999999993</v>
      </c>
      <c r="J71">
        <f t="shared" si="4"/>
        <v>4.3270000000000017</v>
      </c>
      <c r="K71">
        <v>3.2519999999999998</v>
      </c>
      <c r="L71">
        <v>1</v>
      </c>
      <c r="M71">
        <v>0</v>
      </c>
      <c r="N71">
        <v>1</v>
      </c>
      <c r="O71" t="s">
        <v>29</v>
      </c>
      <c r="P71" t="s">
        <v>30</v>
      </c>
      <c r="Q71">
        <v>0.14399999999999999</v>
      </c>
      <c r="R71">
        <v>0.23400000000000001</v>
      </c>
      <c r="S71">
        <v>0.874</v>
      </c>
      <c r="T71">
        <v>0.70299999999999996</v>
      </c>
      <c r="U71">
        <v>0.999</v>
      </c>
      <c r="V71">
        <v>0.58699999999999997</v>
      </c>
      <c r="AA71">
        <f>IF(Attempts[[#This Row],[keystroke_result]]="logged in",1,0)</f>
        <v>1</v>
      </c>
      <c r="AB71">
        <f>IF(Attempts[[#This Row],[graphical_result]]="logged in",1,0)</f>
        <v>1</v>
      </c>
      <c r="AC71">
        <f>IF(Attempts[[#This Row],[mouse_result]]="logged in",1,0)</f>
        <v>1</v>
      </c>
      <c r="AD71">
        <f>IF(Attempts[[#This Row],[final_result]]="logged in",1,0)</f>
        <v>1</v>
      </c>
      <c r="AE71">
        <f>IF(Attempts[[#This Row],[is_impostor]]=0,1,0)</f>
        <v>1</v>
      </c>
      <c r="AF71">
        <f>IF(Attempts[[#This Row],[is_impostor]]=1,1,0)</f>
        <v>0</v>
      </c>
      <c r="AG71">
        <f>IF(AND(Attempts[[#This Row],[keystroke_pass]]=1,Attempts[[#This Row],[graphical_pass]]=1,Attempts[[#This Row],[mouse_pass]]=1),1,0)</f>
        <v>1</v>
      </c>
      <c r="AH71">
        <f>IF(AND(Attempts[[#This Row],[keystroke_pass]]=1, OR(Attempts[[#This Row],[graphical_pass]]=1, Attempts[[#This Row],[mouse_pass]]=1)), 1, 0)</f>
        <v>1</v>
      </c>
      <c r="AI71">
        <f>IF(Attempts[[#This Row],[final_result]]="logged in",Attempts[[#This Row],[login_attempt_number]],"")</f>
        <v>1</v>
      </c>
      <c r="AJ71">
        <f>IF(AND(Attempts[[#This Row],[is_impostor]]=0,Attempts[[#This Row],[final_result]]="logged in"),1,0)</f>
        <v>1</v>
      </c>
      <c r="AK71">
        <f>IF(AND(Attempts[[#This Row],[is_impostor]]=0,Attempts[[#This Row],[final_result]]="logged in",Attempts[[#This Row],[tries_to_success]]&gt;1),1,0)</f>
        <v>0</v>
      </c>
      <c r="AL71">
        <f>IF(Attempts[[#This Row],[prompt_match]]=0,1,0)</f>
        <v>0</v>
      </c>
    </row>
    <row r="72" spans="1:38">
      <c r="A72">
        <f t="shared" si="5"/>
        <v>71</v>
      </c>
      <c r="B72" t="s">
        <v>150</v>
      </c>
      <c r="C72">
        <v>0</v>
      </c>
      <c r="D72" t="s">
        <v>27</v>
      </c>
      <c r="E72" t="s">
        <v>27</v>
      </c>
      <c r="F72" t="s">
        <v>27</v>
      </c>
      <c r="G72" t="s">
        <v>27</v>
      </c>
      <c r="H72">
        <v>15.824</v>
      </c>
      <c r="I72">
        <v>8.5950000000000006</v>
      </c>
      <c r="J72">
        <f t="shared" si="4"/>
        <v>4.4979999999999993</v>
      </c>
      <c r="K72">
        <v>2.7309999999999999</v>
      </c>
      <c r="L72">
        <v>1</v>
      </c>
      <c r="M72">
        <v>0</v>
      </c>
      <c r="N72">
        <v>1</v>
      </c>
      <c r="O72" t="s">
        <v>29</v>
      </c>
      <c r="P72" t="s">
        <v>31</v>
      </c>
      <c r="Q72">
        <v>0.124</v>
      </c>
      <c r="R72">
        <v>0.20799999999999999</v>
      </c>
      <c r="S72">
        <v>0.89</v>
      </c>
      <c r="T72">
        <v>0.48</v>
      </c>
      <c r="U72">
        <v>0.79500000000000004</v>
      </c>
      <c r="V72">
        <v>0.67600000000000005</v>
      </c>
      <c r="AA72">
        <f>IF(Attempts[[#This Row],[keystroke_result]]="logged in",1,0)</f>
        <v>1</v>
      </c>
      <c r="AB72">
        <f>IF(Attempts[[#This Row],[graphical_result]]="logged in",1,0)</f>
        <v>1</v>
      </c>
      <c r="AC72">
        <f>IF(Attempts[[#This Row],[mouse_result]]="logged in",1,0)</f>
        <v>1</v>
      </c>
      <c r="AD72">
        <f>IF(Attempts[[#This Row],[final_result]]="logged in",1,0)</f>
        <v>1</v>
      </c>
      <c r="AE72">
        <f>IF(Attempts[[#This Row],[is_impostor]]=0,1,0)</f>
        <v>1</v>
      </c>
      <c r="AF72">
        <f>IF(Attempts[[#This Row],[is_impostor]]=1,1,0)</f>
        <v>0</v>
      </c>
      <c r="AG72">
        <f>IF(AND(Attempts[[#This Row],[keystroke_pass]]=1,Attempts[[#This Row],[graphical_pass]]=1,Attempts[[#This Row],[mouse_pass]]=1),1,0)</f>
        <v>1</v>
      </c>
      <c r="AH72">
        <f>IF(AND(Attempts[[#This Row],[keystroke_pass]]=1, OR(Attempts[[#This Row],[graphical_pass]]=1, Attempts[[#This Row],[mouse_pass]]=1)), 1, 0)</f>
        <v>1</v>
      </c>
      <c r="AI72">
        <f>IF(Attempts[[#This Row],[final_result]]="logged in",Attempts[[#This Row],[login_attempt_number]],"")</f>
        <v>1</v>
      </c>
      <c r="AJ72">
        <f>IF(AND(Attempts[[#This Row],[is_impostor]]=0,Attempts[[#This Row],[final_result]]="logged in"),1,0)</f>
        <v>1</v>
      </c>
      <c r="AK72">
        <f>IF(AND(Attempts[[#This Row],[is_impostor]]=0,Attempts[[#This Row],[final_result]]="logged in",Attempts[[#This Row],[tries_to_success]]&gt;1),1,0)</f>
        <v>0</v>
      </c>
      <c r="AL72">
        <f>IF(Attempts[[#This Row],[prompt_match]]=0,1,0)</f>
        <v>0</v>
      </c>
    </row>
    <row r="73" spans="1:38">
      <c r="A73">
        <f t="shared" si="5"/>
        <v>72</v>
      </c>
      <c r="B73" t="s">
        <v>150</v>
      </c>
      <c r="C73">
        <v>0</v>
      </c>
      <c r="D73" t="s">
        <v>27</v>
      </c>
      <c r="E73" t="s">
        <v>27</v>
      </c>
      <c r="F73" t="s">
        <v>27</v>
      </c>
      <c r="G73" t="s">
        <v>27</v>
      </c>
      <c r="H73">
        <v>15.164999999999999</v>
      </c>
      <c r="I73">
        <v>7.3360000000000003</v>
      </c>
      <c r="J73">
        <f t="shared" si="4"/>
        <v>5.2669999999999995</v>
      </c>
      <c r="K73">
        <v>2.5619999999999998</v>
      </c>
      <c r="L73">
        <v>1</v>
      </c>
      <c r="M73">
        <v>0</v>
      </c>
      <c r="N73">
        <v>1</v>
      </c>
      <c r="O73" t="s">
        <v>29</v>
      </c>
      <c r="P73" t="s">
        <v>31</v>
      </c>
      <c r="Q73">
        <v>0.15</v>
      </c>
      <c r="R73">
        <v>0.157</v>
      </c>
      <c r="S73">
        <v>0.87</v>
      </c>
      <c r="T73">
        <v>0.54200000000000004</v>
      </c>
      <c r="U73">
        <v>1.181</v>
      </c>
      <c r="V73">
        <v>0.64900000000000002</v>
      </c>
      <c r="AA73">
        <f>IF(Attempts[[#This Row],[keystroke_result]]="logged in",1,0)</f>
        <v>1</v>
      </c>
      <c r="AB73">
        <f>IF(Attempts[[#This Row],[graphical_result]]="logged in",1,0)</f>
        <v>1</v>
      </c>
      <c r="AC73">
        <f>IF(Attempts[[#This Row],[mouse_result]]="logged in",1,0)</f>
        <v>1</v>
      </c>
      <c r="AD73">
        <f>IF(Attempts[[#This Row],[final_result]]="logged in",1,0)</f>
        <v>1</v>
      </c>
      <c r="AE73">
        <f>IF(Attempts[[#This Row],[is_impostor]]=0,1,0)</f>
        <v>1</v>
      </c>
      <c r="AF73">
        <f>IF(Attempts[[#This Row],[is_impostor]]=1,1,0)</f>
        <v>0</v>
      </c>
      <c r="AG73">
        <f>IF(AND(Attempts[[#This Row],[keystroke_pass]]=1,Attempts[[#This Row],[graphical_pass]]=1,Attempts[[#This Row],[mouse_pass]]=1),1,0)</f>
        <v>1</v>
      </c>
      <c r="AH73">
        <f>IF(AND(Attempts[[#This Row],[keystroke_pass]]=1, OR(Attempts[[#This Row],[graphical_pass]]=1, Attempts[[#This Row],[mouse_pass]]=1)), 1, 0)</f>
        <v>1</v>
      </c>
      <c r="AI73">
        <f>IF(Attempts[[#This Row],[final_result]]="logged in",Attempts[[#This Row],[login_attempt_number]],"")</f>
        <v>1</v>
      </c>
      <c r="AJ73">
        <f>IF(AND(Attempts[[#This Row],[is_impostor]]=0,Attempts[[#This Row],[final_result]]="logged in"),1,0)</f>
        <v>1</v>
      </c>
      <c r="AK73">
        <f>IF(AND(Attempts[[#This Row],[is_impostor]]=0,Attempts[[#This Row],[final_result]]="logged in",Attempts[[#This Row],[tries_to_success]]&gt;1),1,0)</f>
        <v>0</v>
      </c>
      <c r="AL73">
        <f>IF(Attempts[[#This Row],[prompt_match]]=0,1,0)</f>
        <v>0</v>
      </c>
    </row>
    <row r="74" spans="1:38">
      <c r="A74">
        <f t="shared" si="5"/>
        <v>73</v>
      </c>
      <c r="B74" t="s">
        <v>150</v>
      </c>
      <c r="C74">
        <v>0</v>
      </c>
      <c r="D74" t="s">
        <v>27</v>
      </c>
      <c r="E74" t="s">
        <v>27</v>
      </c>
      <c r="F74" t="s">
        <v>27</v>
      </c>
      <c r="G74" t="s">
        <v>27</v>
      </c>
      <c r="H74">
        <v>18.416</v>
      </c>
      <c r="I74">
        <v>9.0779999999999994</v>
      </c>
      <c r="J74">
        <f t="shared" si="4"/>
        <v>6.6160000000000014</v>
      </c>
      <c r="K74">
        <v>2.722</v>
      </c>
      <c r="L74">
        <v>1</v>
      </c>
      <c r="M74">
        <v>0</v>
      </c>
      <c r="N74">
        <v>1</v>
      </c>
      <c r="O74" t="s">
        <v>29</v>
      </c>
      <c r="P74" t="s">
        <v>31</v>
      </c>
      <c r="Q74">
        <v>0.13500000000000001</v>
      </c>
      <c r="R74">
        <v>0.30499999999999999</v>
      </c>
      <c r="S74">
        <v>0.88100000000000001</v>
      </c>
      <c r="T74">
        <v>0.94699999999999995</v>
      </c>
      <c r="U74">
        <v>1.4510000000000001</v>
      </c>
      <c r="V74">
        <v>0.51400000000000001</v>
      </c>
      <c r="AA74">
        <f>IF(Attempts[[#This Row],[keystroke_result]]="logged in",1,0)</f>
        <v>1</v>
      </c>
      <c r="AB74">
        <f>IF(Attempts[[#This Row],[graphical_result]]="logged in",1,0)</f>
        <v>1</v>
      </c>
      <c r="AC74">
        <f>IF(Attempts[[#This Row],[mouse_result]]="logged in",1,0)</f>
        <v>1</v>
      </c>
      <c r="AD74">
        <f>IF(Attempts[[#This Row],[final_result]]="logged in",1,0)</f>
        <v>1</v>
      </c>
      <c r="AE74">
        <f>IF(Attempts[[#This Row],[is_impostor]]=0,1,0)</f>
        <v>1</v>
      </c>
      <c r="AF74">
        <f>IF(Attempts[[#This Row],[is_impostor]]=1,1,0)</f>
        <v>0</v>
      </c>
      <c r="AG74">
        <f>IF(AND(Attempts[[#This Row],[keystroke_pass]]=1,Attempts[[#This Row],[graphical_pass]]=1,Attempts[[#This Row],[mouse_pass]]=1),1,0)</f>
        <v>1</v>
      </c>
      <c r="AH74">
        <f>IF(AND(Attempts[[#This Row],[keystroke_pass]]=1, OR(Attempts[[#This Row],[graphical_pass]]=1, Attempts[[#This Row],[mouse_pass]]=1)), 1, 0)</f>
        <v>1</v>
      </c>
      <c r="AI74">
        <f>IF(Attempts[[#This Row],[final_result]]="logged in",Attempts[[#This Row],[login_attempt_number]],"")</f>
        <v>1</v>
      </c>
      <c r="AJ74">
        <f>IF(AND(Attempts[[#This Row],[is_impostor]]=0,Attempts[[#This Row],[final_result]]="logged in"),1,0)</f>
        <v>1</v>
      </c>
      <c r="AK74">
        <f>IF(AND(Attempts[[#This Row],[is_impostor]]=0,Attempts[[#This Row],[final_result]]="logged in",Attempts[[#This Row],[tries_to_success]]&gt;1),1,0)</f>
        <v>0</v>
      </c>
      <c r="AL74">
        <f>IF(Attempts[[#This Row],[prompt_match]]=0,1,0)</f>
        <v>0</v>
      </c>
    </row>
    <row r="75" spans="1:38">
      <c r="A75">
        <f t="shared" si="5"/>
        <v>74</v>
      </c>
      <c r="B75" t="s">
        <v>150</v>
      </c>
      <c r="C75">
        <v>0</v>
      </c>
      <c r="D75" t="s">
        <v>27</v>
      </c>
      <c r="E75" t="s">
        <v>27</v>
      </c>
      <c r="F75" t="s">
        <v>28</v>
      </c>
      <c r="G75" t="s">
        <v>27</v>
      </c>
      <c r="H75">
        <v>14.044</v>
      </c>
      <c r="I75">
        <v>7.5869999999999997</v>
      </c>
      <c r="J75">
        <f t="shared" si="4"/>
        <v>4.2200000000000006</v>
      </c>
      <c r="K75">
        <v>2.2370000000000001</v>
      </c>
      <c r="L75">
        <v>1</v>
      </c>
      <c r="M75">
        <v>0</v>
      </c>
      <c r="N75">
        <v>1</v>
      </c>
      <c r="O75" t="s">
        <v>29</v>
      </c>
      <c r="P75" t="s">
        <v>31</v>
      </c>
      <c r="Q75">
        <v>0.14699999999999999</v>
      </c>
      <c r="R75">
        <v>0.23</v>
      </c>
      <c r="S75">
        <v>0.872</v>
      </c>
      <c r="T75">
        <v>2.9129999999999998</v>
      </c>
      <c r="U75">
        <v>4.5730000000000004</v>
      </c>
      <c r="V75">
        <v>0.25600000000000001</v>
      </c>
      <c r="AA75">
        <f>IF(Attempts[[#This Row],[keystroke_result]]="logged in",1,0)</f>
        <v>1</v>
      </c>
      <c r="AB75">
        <f>IF(Attempts[[#This Row],[graphical_result]]="logged in",1,0)</f>
        <v>1</v>
      </c>
      <c r="AC75">
        <f>IF(Attempts[[#This Row],[mouse_result]]="logged in",1,0)</f>
        <v>0</v>
      </c>
      <c r="AD75">
        <f>IF(Attempts[[#This Row],[final_result]]="logged in",1,0)</f>
        <v>1</v>
      </c>
      <c r="AE75">
        <f>IF(Attempts[[#This Row],[is_impostor]]=0,1,0)</f>
        <v>1</v>
      </c>
      <c r="AF75">
        <f>IF(Attempts[[#This Row],[is_impostor]]=1,1,0)</f>
        <v>0</v>
      </c>
      <c r="AG75">
        <f>IF(AND(Attempts[[#This Row],[keystroke_pass]]=1,Attempts[[#This Row],[graphical_pass]]=1,Attempts[[#This Row],[mouse_pass]]=1),1,0)</f>
        <v>0</v>
      </c>
      <c r="AH75">
        <f>IF(AND(Attempts[[#This Row],[keystroke_pass]]=1, OR(Attempts[[#This Row],[graphical_pass]]=1, Attempts[[#This Row],[mouse_pass]]=1)), 1, 0)</f>
        <v>1</v>
      </c>
      <c r="AI75">
        <f>IF(Attempts[[#This Row],[final_result]]="logged in",Attempts[[#This Row],[login_attempt_number]],"")</f>
        <v>1</v>
      </c>
      <c r="AJ75">
        <f>IF(AND(Attempts[[#This Row],[is_impostor]]=0,Attempts[[#This Row],[final_result]]="logged in"),1,0)</f>
        <v>1</v>
      </c>
      <c r="AK75">
        <f>IF(AND(Attempts[[#This Row],[is_impostor]]=0,Attempts[[#This Row],[final_result]]="logged in",Attempts[[#This Row],[tries_to_success]]&gt;1),1,0)</f>
        <v>0</v>
      </c>
      <c r="AL75">
        <f>IF(Attempts[[#This Row],[prompt_match]]=0,1,0)</f>
        <v>0</v>
      </c>
    </row>
    <row r="76" spans="1:38">
      <c r="A76">
        <f t="shared" si="5"/>
        <v>75</v>
      </c>
      <c r="B76" t="s">
        <v>150</v>
      </c>
      <c r="C76">
        <v>0</v>
      </c>
      <c r="D76" t="s">
        <v>27</v>
      </c>
      <c r="E76" t="s">
        <v>27</v>
      </c>
      <c r="F76" t="s">
        <v>28</v>
      </c>
      <c r="G76" t="s">
        <v>27</v>
      </c>
      <c r="H76">
        <v>16.937999999999999</v>
      </c>
      <c r="I76">
        <v>8.5169999999999995</v>
      </c>
      <c r="J76">
        <f t="shared" si="4"/>
        <v>5.1189999999999998</v>
      </c>
      <c r="K76">
        <v>3.302</v>
      </c>
      <c r="L76">
        <v>1</v>
      </c>
      <c r="M76">
        <v>0</v>
      </c>
      <c r="N76">
        <v>1</v>
      </c>
      <c r="O76" t="s">
        <v>29</v>
      </c>
      <c r="P76" t="s">
        <v>31</v>
      </c>
      <c r="Q76">
        <v>0.31</v>
      </c>
      <c r="R76">
        <v>0.438</v>
      </c>
      <c r="S76">
        <v>0.76300000000000001</v>
      </c>
      <c r="T76">
        <v>1.569</v>
      </c>
      <c r="U76">
        <v>3.1419999999999999</v>
      </c>
      <c r="V76">
        <v>0.38900000000000001</v>
      </c>
      <c r="AA76">
        <f>IF(Attempts[[#This Row],[keystroke_result]]="logged in",1,0)</f>
        <v>1</v>
      </c>
      <c r="AB76">
        <f>IF(Attempts[[#This Row],[graphical_result]]="logged in",1,0)</f>
        <v>1</v>
      </c>
      <c r="AC76">
        <f>IF(Attempts[[#This Row],[mouse_result]]="logged in",1,0)</f>
        <v>0</v>
      </c>
      <c r="AD76">
        <f>IF(Attempts[[#This Row],[final_result]]="logged in",1,0)</f>
        <v>1</v>
      </c>
      <c r="AE76">
        <f>IF(Attempts[[#This Row],[is_impostor]]=0,1,0)</f>
        <v>1</v>
      </c>
      <c r="AF76">
        <f>IF(Attempts[[#This Row],[is_impostor]]=1,1,0)</f>
        <v>0</v>
      </c>
      <c r="AG76">
        <f>IF(AND(Attempts[[#This Row],[keystroke_pass]]=1,Attempts[[#This Row],[graphical_pass]]=1,Attempts[[#This Row],[mouse_pass]]=1),1,0)</f>
        <v>0</v>
      </c>
      <c r="AH76">
        <f>IF(AND(Attempts[[#This Row],[keystroke_pass]]=1, OR(Attempts[[#This Row],[graphical_pass]]=1, Attempts[[#This Row],[mouse_pass]]=1)), 1, 0)</f>
        <v>1</v>
      </c>
      <c r="AI76">
        <f>IF(Attempts[[#This Row],[final_result]]="logged in",Attempts[[#This Row],[login_attempt_number]],"")</f>
        <v>1</v>
      </c>
      <c r="AJ76">
        <f>IF(AND(Attempts[[#This Row],[is_impostor]]=0,Attempts[[#This Row],[final_result]]="logged in"),1,0)</f>
        <v>1</v>
      </c>
      <c r="AK76">
        <f>IF(AND(Attempts[[#This Row],[is_impostor]]=0,Attempts[[#This Row],[final_result]]="logged in",Attempts[[#This Row],[tries_to_success]]&gt;1),1,0)</f>
        <v>0</v>
      </c>
      <c r="AL76">
        <f>IF(Attempts[[#This Row],[prompt_match]]=0,1,0)</f>
        <v>0</v>
      </c>
    </row>
    <row r="77" spans="1:38">
      <c r="A77">
        <f t="shared" si="5"/>
        <v>76</v>
      </c>
      <c r="B77" t="s">
        <v>150</v>
      </c>
      <c r="C77">
        <v>0</v>
      </c>
      <c r="D77" t="s">
        <v>27</v>
      </c>
      <c r="E77" t="s">
        <v>27</v>
      </c>
      <c r="F77" t="s">
        <v>28</v>
      </c>
      <c r="G77" t="s">
        <v>27</v>
      </c>
      <c r="H77">
        <v>14.535</v>
      </c>
      <c r="I77">
        <v>6.1559999999999997</v>
      </c>
      <c r="J77">
        <f t="shared" si="4"/>
        <v>5.4430000000000014</v>
      </c>
      <c r="K77">
        <v>2.9359999999999999</v>
      </c>
      <c r="L77">
        <v>1</v>
      </c>
      <c r="M77">
        <v>0</v>
      </c>
      <c r="N77">
        <v>1</v>
      </c>
      <c r="O77" t="s">
        <v>29</v>
      </c>
      <c r="P77" t="s">
        <v>31</v>
      </c>
      <c r="Q77">
        <v>0.254</v>
      </c>
      <c r="R77">
        <v>0.34899999999999998</v>
      </c>
      <c r="S77">
        <v>0.79800000000000004</v>
      </c>
      <c r="T77">
        <v>1.087</v>
      </c>
      <c r="U77">
        <v>2.569</v>
      </c>
      <c r="V77">
        <v>0.47899999999999998</v>
      </c>
      <c r="AA77">
        <f>IF(Attempts[[#This Row],[keystroke_result]]="logged in",1,0)</f>
        <v>1</v>
      </c>
      <c r="AB77">
        <f>IF(Attempts[[#This Row],[graphical_result]]="logged in",1,0)</f>
        <v>1</v>
      </c>
      <c r="AC77">
        <f>IF(Attempts[[#This Row],[mouse_result]]="logged in",1,0)</f>
        <v>0</v>
      </c>
      <c r="AD77">
        <f>IF(Attempts[[#This Row],[final_result]]="logged in",1,0)</f>
        <v>1</v>
      </c>
      <c r="AE77">
        <f>IF(Attempts[[#This Row],[is_impostor]]=0,1,0)</f>
        <v>1</v>
      </c>
      <c r="AF77">
        <f>IF(Attempts[[#This Row],[is_impostor]]=1,1,0)</f>
        <v>0</v>
      </c>
      <c r="AG77">
        <f>IF(AND(Attempts[[#This Row],[keystroke_pass]]=1,Attempts[[#This Row],[graphical_pass]]=1,Attempts[[#This Row],[mouse_pass]]=1),1,0)</f>
        <v>0</v>
      </c>
      <c r="AH77">
        <f>IF(AND(Attempts[[#This Row],[keystroke_pass]]=1, OR(Attempts[[#This Row],[graphical_pass]]=1, Attempts[[#This Row],[mouse_pass]]=1)), 1, 0)</f>
        <v>1</v>
      </c>
      <c r="AI77">
        <f>IF(Attempts[[#This Row],[final_result]]="logged in",Attempts[[#This Row],[login_attempt_number]],"")</f>
        <v>1</v>
      </c>
      <c r="AJ77">
        <f>IF(AND(Attempts[[#This Row],[is_impostor]]=0,Attempts[[#This Row],[final_result]]="logged in"),1,0)</f>
        <v>1</v>
      </c>
      <c r="AK77">
        <f>IF(AND(Attempts[[#This Row],[is_impostor]]=0,Attempts[[#This Row],[final_result]]="logged in",Attempts[[#This Row],[tries_to_success]]&gt;1),1,0)</f>
        <v>0</v>
      </c>
      <c r="AL77">
        <f>IF(Attempts[[#This Row],[prompt_match]]=0,1,0)</f>
        <v>0</v>
      </c>
    </row>
    <row r="78" spans="1:38">
      <c r="A78">
        <f t="shared" si="5"/>
        <v>77</v>
      </c>
      <c r="B78" t="s">
        <v>150</v>
      </c>
      <c r="C78">
        <v>0</v>
      </c>
      <c r="D78" t="s">
        <v>27</v>
      </c>
      <c r="E78" t="s">
        <v>27</v>
      </c>
      <c r="F78" t="s">
        <v>28</v>
      </c>
      <c r="G78" t="s">
        <v>27</v>
      </c>
      <c r="H78">
        <v>28.669</v>
      </c>
      <c r="I78">
        <v>7.8630000000000004</v>
      </c>
      <c r="J78">
        <f t="shared" si="4"/>
        <v>17.829999999999998</v>
      </c>
      <c r="K78">
        <v>2.976</v>
      </c>
      <c r="L78">
        <v>1</v>
      </c>
      <c r="M78">
        <v>0</v>
      </c>
      <c r="N78">
        <v>1</v>
      </c>
      <c r="O78" t="s">
        <v>29</v>
      </c>
      <c r="P78" t="s">
        <v>31</v>
      </c>
      <c r="Q78">
        <v>0.09</v>
      </c>
      <c r="R78">
        <v>0.188</v>
      </c>
      <c r="S78">
        <v>0.91700000000000004</v>
      </c>
      <c r="T78">
        <v>0.752</v>
      </c>
      <c r="U78">
        <v>2.2250000000000001</v>
      </c>
      <c r="V78">
        <v>0.57099999999999995</v>
      </c>
      <c r="AA78">
        <f>IF(Attempts[[#This Row],[keystroke_result]]="logged in",1,0)</f>
        <v>1</v>
      </c>
      <c r="AB78">
        <f>IF(Attempts[[#This Row],[graphical_result]]="logged in",1,0)</f>
        <v>1</v>
      </c>
      <c r="AC78">
        <f>IF(Attempts[[#This Row],[mouse_result]]="logged in",1,0)</f>
        <v>0</v>
      </c>
      <c r="AD78">
        <f>IF(Attempts[[#This Row],[final_result]]="logged in",1,0)</f>
        <v>1</v>
      </c>
      <c r="AE78">
        <f>IF(Attempts[[#This Row],[is_impostor]]=0,1,0)</f>
        <v>1</v>
      </c>
      <c r="AF78">
        <f>IF(Attempts[[#This Row],[is_impostor]]=1,1,0)</f>
        <v>0</v>
      </c>
      <c r="AG78">
        <f>IF(AND(Attempts[[#This Row],[keystroke_pass]]=1,Attempts[[#This Row],[graphical_pass]]=1,Attempts[[#This Row],[mouse_pass]]=1),1,0)</f>
        <v>0</v>
      </c>
      <c r="AH78">
        <f>IF(AND(Attempts[[#This Row],[keystroke_pass]]=1, OR(Attempts[[#This Row],[graphical_pass]]=1, Attempts[[#This Row],[mouse_pass]]=1)), 1, 0)</f>
        <v>1</v>
      </c>
      <c r="AI78">
        <f>IF(Attempts[[#This Row],[final_result]]="logged in",Attempts[[#This Row],[login_attempt_number]],"")</f>
        <v>1</v>
      </c>
      <c r="AJ78">
        <f>IF(AND(Attempts[[#This Row],[is_impostor]]=0,Attempts[[#This Row],[final_result]]="logged in"),1,0)</f>
        <v>1</v>
      </c>
      <c r="AK78">
        <f>IF(AND(Attempts[[#This Row],[is_impostor]]=0,Attempts[[#This Row],[final_result]]="logged in",Attempts[[#This Row],[tries_to_success]]&gt;1),1,0)</f>
        <v>0</v>
      </c>
      <c r="AL78">
        <f>IF(Attempts[[#This Row],[prompt_match]]=0,1,0)</f>
        <v>0</v>
      </c>
    </row>
    <row r="79" spans="1:38">
      <c r="A79">
        <f t="shared" si="5"/>
        <v>78</v>
      </c>
      <c r="B79" t="s">
        <v>150</v>
      </c>
      <c r="C79">
        <v>0</v>
      </c>
      <c r="D79" t="s">
        <v>27</v>
      </c>
      <c r="E79" t="s">
        <v>27</v>
      </c>
      <c r="F79" t="s">
        <v>28</v>
      </c>
      <c r="G79" t="s">
        <v>27</v>
      </c>
      <c r="H79">
        <v>17.597999999999999</v>
      </c>
      <c r="I79">
        <v>7.3929999999999998</v>
      </c>
      <c r="J79">
        <f t="shared" si="4"/>
        <v>7.7029999999999994</v>
      </c>
      <c r="K79">
        <v>2.5019999999999998</v>
      </c>
      <c r="L79">
        <v>1</v>
      </c>
      <c r="M79">
        <v>0</v>
      </c>
      <c r="N79">
        <v>1</v>
      </c>
      <c r="O79" t="s">
        <v>29</v>
      </c>
      <c r="P79" t="s">
        <v>31</v>
      </c>
      <c r="Q79">
        <v>0.154</v>
      </c>
      <c r="R79">
        <v>0.20200000000000001</v>
      </c>
      <c r="S79">
        <v>0.86699999999999999</v>
      </c>
      <c r="T79">
        <v>1.204</v>
      </c>
      <c r="U79">
        <v>3.2650000000000001</v>
      </c>
      <c r="V79">
        <v>0.45400000000000001</v>
      </c>
      <c r="AA79">
        <f>IF(Attempts[[#This Row],[keystroke_result]]="logged in",1,0)</f>
        <v>1</v>
      </c>
      <c r="AB79">
        <f>IF(Attempts[[#This Row],[graphical_result]]="logged in",1,0)</f>
        <v>1</v>
      </c>
      <c r="AC79">
        <f>IF(Attempts[[#This Row],[mouse_result]]="logged in",1,0)</f>
        <v>0</v>
      </c>
      <c r="AD79">
        <f>IF(Attempts[[#This Row],[final_result]]="logged in",1,0)</f>
        <v>1</v>
      </c>
      <c r="AE79">
        <f>IF(Attempts[[#This Row],[is_impostor]]=0,1,0)</f>
        <v>1</v>
      </c>
      <c r="AF79">
        <f>IF(Attempts[[#This Row],[is_impostor]]=1,1,0)</f>
        <v>0</v>
      </c>
      <c r="AG79">
        <f>IF(AND(Attempts[[#This Row],[keystroke_pass]]=1,Attempts[[#This Row],[graphical_pass]]=1,Attempts[[#This Row],[mouse_pass]]=1),1,0)</f>
        <v>0</v>
      </c>
      <c r="AH79">
        <f>IF(AND(Attempts[[#This Row],[keystroke_pass]]=1, OR(Attempts[[#This Row],[graphical_pass]]=1, Attempts[[#This Row],[mouse_pass]]=1)), 1, 0)</f>
        <v>1</v>
      </c>
      <c r="AI79">
        <f>IF(Attempts[[#This Row],[final_result]]="logged in",Attempts[[#This Row],[login_attempt_number]],"")</f>
        <v>1</v>
      </c>
      <c r="AJ79">
        <f>IF(AND(Attempts[[#This Row],[is_impostor]]=0,Attempts[[#This Row],[final_result]]="logged in"),1,0)</f>
        <v>1</v>
      </c>
      <c r="AK79">
        <f>IF(AND(Attempts[[#This Row],[is_impostor]]=0,Attempts[[#This Row],[final_result]]="logged in",Attempts[[#This Row],[tries_to_success]]&gt;1),1,0)</f>
        <v>0</v>
      </c>
      <c r="AL79">
        <f>IF(Attempts[[#This Row],[prompt_match]]=0,1,0)</f>
        <v>0</v>
      </c>
    </row>
    <row r="80" spans="1:38">
      <c r="A80">
        <f t="shared" si="5"/>
        <v>79</v>
      </c>
      <c r="B80" t="s">
        <v>150</v>
      </c>
      <c r="C80">
        <v>0</v>
      </c>
      <c r="D80" t="s">
        <v>27</v>
      </c>
      <c r="E80" t="s">
        <v>27</v>
      </c>
      <c r="F80" t="s">
        <v>28</v>
      </c>
      <c r="G80" t="s">
        <v>27</v>
      </c>
      <c r="H80">
        <v>14.738</v>
      </c>
      <c r="I80">
        <v>5.8170000000000002</v>
      </c>
      <c r="J80">
        <f t="shared" si="4"/>
        <v>6.4609999999999985</v>
      </c>
      <c r="K80">
        <v>2.46</v>
      </c>
      <c r="L80">
        <v>1</v>
      </c>
      <c r="M80">
        <v>0</v>
      </c>
      <c r="N80">
        <v>1</v>
      </c>
      <c r="O80" t="s">
        <v>29</v>
      </c>
      <c r="P80" t="s">
        <v>31</v>
      </c>
      <c r="Q80">
        <v>0.249</v>
      </c>
      <c r="R80">
        <v>0.42499999999999999</v>
      </c>
      <c r="S80">
        <v>0.80100000000000005</v>
      </c>
      <c r="T80">
        <v>1.262</v>
      </c>
      <c r="U80">
        <v>2.121</v>
      </c>
      <c r="V80">
        <v>0.442</v>
      </c>
      <c r="AA80">
        <f>IF(Attempts[[#This Row],[keystroke_result]]="logged in",1,0)</f>
        <v>1</v>
      </c>
      <c r="AB80">
        <f>IF(Attempts[[#This Row],[graphical_result]]="logged in",1,0)</f>
        <v>1</v>
      </c>
      <c r="AC80">
        <f>IF(Attempts[[#This Row],[mouse_result]]="logged in",1,0)</f>
        <v>0</v>
      </c>
      <c r="AD80">
        <f>IF(Attempts[[#This Row],[final_result]]="logged in",1,0)</f>
        <v>1</v>
      </c>
      <c r="AE80">
        <f>IF(Attempts[[#This Row],[is_impostor]]=0,1,0)</f>
        <v>1</v>
      </c>
      <c r="AF80">
        <f>IF(Attempts[[#This Row],[is_impostor]]=1,1,0)</f>
        <v>0</v>
      </c>
      <c r="AG80">
        <f>IF(AND(Attempts[[#This Row],[keystroke_pass]]=1,Attempts[[#This Row],[graphical_pass]]=1,Attempts[[#This Row],[mouse_pass]]=1),1,0)</f>
        <v>0</v>
      </c>
      <c r="AH80">
        <f>IF(AND(Attempts[[#This Row],[keystroke_pass]]=1, OR(Attempts[[#This Row],[graphical_pass]]=1, Attempts[[#This Row],[mouse_pass]]=1)), 1, 0)</f>
        <v>1</v>
      </c>
      <c r="AI80">
        <f>IF(Attempts[[#This Row],[final_result]]="logged in",Attempts[[#This Row],[login_attempt_number]],"")</f>
        <v>1</v>
      </c>
      <c r="AJ80">
        <f>IF(AND(Attempts[[#This Row],[is_impostor]]=0,Attempts[[#This Row],[final_result]]="logged in"),1,0)</f>
        <v>1</v>
      </c>
      <c r="AK80">
        <f>IF(AND(Attempts[[#This Row],[is_impostor]]=0,Attempts[[#This Row],[final_result]]="logged in",Attempts[[#This Row],[tries_to_success]]&gt;1),1,0)</f>
        <v>0</v>
      </c>
      <c r="AL80">
        <f>IF(Attempts[[#This Row],[prompt_match]]=0,1,0)</f>
        <v>0</v>
      </c>
    </row>
    <row r="81" spans="1:38">
      <c r="A81">
        <f t="shared" si="5"/>
        <v>80</v>
      </c>
      <c r="B81" t="s">
        <v>150</v>
      </c>
      <c r="C81">
        <v>0</v>
      </c>
      <c r="D81" t="s">
        <v>27</v>
      </c>
      <c r="E81" t="s">
        <v>27</v>
      </c>
      <c r="F81" t="s">
        <v>28</v>
      </c>
      <c r="G81" t="s">
        <v>27</v>
      </c>
      <c r="H81">
        <v>14.641</v>
      </c>
      <c r="I81">
        <v>5.585</v>
      </c>
      <c r="J81">
        <f t="shared" si="4"/>
        <v>6.4629999999999992</v>
      </c>
      <c r="K81">
        <v>2.593</v>
      </c>
      <c r="L81">
        <v>1</v>
      </c>
      <c r="M81">
        <v>0</v>
      </c>
      <c r="N81">
        <v>1</v>
      </c>
      <c r="O81" t="s">
        <v>29</v>
      </c>
      <c r="P81" t="s">
        <v>31</v>
      </c>
      <c r="Q81">
        <v>0.35</v>
      </c>
      <c r="R81">
        <v>0.41</v>
      </c>
      <c r="S81">
        <v>0.74099999999999999</v>
      </c>
      <c r="T81">
        <v>0.88300000000000001</v>
      </c>
      <c r="U81">
        <v>1.931</v>
      </c>
      <c r="V81">
        <v>0.53100000000000003</v>
      </c>
      <c r="AA81">
        <f>IF(Attempts[[#This Row],[keystroke_result]]="logged in",1,0)</f>
        <v>1</v>
      </c>
      <c r="AB81">
        <f>IF(Attempts[[#This Row],[graphical_result]]="logged in",1,0)</f>
        <v>1</v>
      </c>
      <c r="AC81">
        <f>IF(Attempts[[#This Row],[mouse_result]]="logged in",1,0)</f>
        <v>0</v>
      </c>
      <c r="AD81">
        <f>IF(Attempts[[#This Row],[final_result]]="logged in",1,0)</f>
        <v>1</v>
      </c>
      <c r="AE81">
        <f>IF(Attempts[[#This Row],[is_impostor]]=0,1,0)</f>
        <v>1</v>
      </c>
      <c r="AF81">
        <f>IF(Attempts[[#This Row],[is_impostor]]=1,1,0)</f>
        <v>0</v>
      </c>
      <c r="AG81">
        <f>IF(AND(Attempts[[#This Row],[keystroke_pass]]=1,Attempts[[#This Row],[graphical_pass]]=1,Attempts[[#This Row],[mouse_pass]]=1),1,0)</f>
        <v>0</v>
      </c>
      <c r="AH81">
        <f>IF(AND(Attempts[[#This Row],[keystroke_pass]]=1, OR(Attempts[[#This Row],[graphical_pass]]=1, Attempts[[#This Row],[mouse_pass]]=1)), 1, 0)</f>
        <v>1</v>
      </c>
      <c r="AI81">
        <f>IF(Attempts[[#This Row],[final_result]]="logged in",Attempts[[#This Row],[login_attempt_number]],"")</f>
        <v>1</v>
      </c>
      <c r="AJ81">
        <f>IF(AND(Attempts[[#This Row],[is_impostor]]=0,Attempts[[#This Row],[final_result]]="logged in"),1,0)</f>
        <v>1</v>
      </c>
      <c r="AK81">
        <f>IF(AND(Attempts[[#This Row],[is_impostor]]=0,Attempts[[#This Row],[final_result]]="logged in",Attempts[[#This Row],[tries_to_success]]&gt;1),1,0)</f>
        <v>0</v>
      </c>
      <c r="AL81">
        <f>IF(Attempts[[#This Row],[prompt_match]]=0,1,0)</f>
        <v>0</v>
      </c>
    </row>
    <row r="82" spans="1:38">
      <c r="A82">
        <f>A81+1</f>
        <v>81</v>
      </c>
      <c r="B82" t="s">
        <v>32</v>
      </c>
      <c r="C82">
        <v>0</v>
      </c>
      <c r="D82" t="s">
        <v>27</v>
      </c>
      <c r="E82" t="s">
        <v>27</v>
      </c>
      <c r="F82" t="s">
        <v>27</v>
      </c>
      <c r="G82" t="s">
        <v>27</v>
      </c>
      <c r="H82">
        <v>29.411000000000001</v>
      </c>
      <c r="I82">
        <v>16.693000000000001</v>
      </c>
      <c r="J82">
        <f t="shared" si="4"/>
        <v>7.8129999999999988</v>
      </c>
      <c r="K82">
        <v>4.9050000000000002</v>
      </c>
      <c r="L82">
        <v>1</v>
      </c>
      <c r="M82">
        <v>0</v>
      </c>
      <c r="N82">
        <v>1</v>
      </c>
      <c r="O82" t="s">
        <v>33</v>
      </c>
      <c r="P82" t="s">
        <v>34</v>
      </c>
      <c r="Q82">
        <v>4.7E-2</v>
      </c>
      <c r="R82">
        <v>7.0999999999999994E-2</v>
      </c>
      <c r="S82">
        <v>0.95499999999999996</v>
      </c>
      <c r="T82">
        <v>0.71499999999999997</v>
      </c>
      <c r="U82">
        <v>1.42</v>
      </c>
      <c r="V82">
        <v>0.58299999999999996</v>
      </c>
      <c r="AA82">
        <f>IF(Attempts[[#This Row],[keystroke_result]]="logged in",1,0)</f>
        <v>1</v>
      </c>
      <c r="AB82">
        <f>IF(Attempts[[#This Row],[graphical_result]]="logged in",1,0)</f>
        <v>1</v>
      </c>
      <c r="AC82">
        <f>IF(Attempts[[#This Row],[mouse_result]]="logged in",1,0)</f>
        <v>1</v>
      </c>
      <c r="AD82">
        <f>IF(Attempts[[#This Row],[final_result]]="logged in",1,0)</f>
        <v>1</v>
      </c>
      <c r="AE82">
        <f>IF(Attempts[[#This Row],[is_impostor]]=0,1,0)</f>
        <v>1</v>
      </c>
      <c r="AF82">
        <f>IF(Attempts[[#This Row],[is_impostor]]=1,1,0)</f>
        <v>0</v>
      </c>
      <c r="AG82">
        <f>IF(AND(Attempts[[#This Row],[keystroke_pass]]=1,Attempts[[#This Row],[graphical_pass]]=1,Attempts[[#This Row],[mouse_pass]]=1),1,0)</f>
        <v>1</v>
      </c>
      <c r="AH82">
        <f>IF(AND(Attempts[[#This Row],[keystroke_pass]]=1, OR(Attempts[[#This Row],[graphical_pass]]=1, Attempts[[#This Row],[mouse_pass]]=1)), 1, 0)</f>
        <v>1</v>
      </c>
      <c r="AI82">
        <f>IF(Attempts[[#This Row],[final_result]]="logged in",Attempts[[#This Row],[login_attempt_number]],"")</f>
        <v>1</v>
      </c>
      <c r="AJ82">
        <f>IF(AND(Attempts[[#This Row],[is_impostor]]=0,Attempts[[#This Row],[final_result]]="logged in"),1,0)</f>
        <v>1</v>
      </c>
      <c r="AK82">
        <f>IF(AND(Attempts[[#This Row],[is_impostor]]=0,Attempts[[#This Row],[final_result]]="logged in",Attempts[[#This Row],[tries_to_success]]&gt;1),1,0)</f>
        <v>0</v>
      </c>
      <c r="AL82">
        <f>IF(Attempts[[#This Row],[prompt_match]]=0,1,0)</f>
        <v>0</v>
      </c>
    </row>
    <row r="83" spans="1:38">
      <c r="A83">
        <f t="shared" si="5"/>
        <v>82</v>
      </c>
      <c r="B83" t="s">
        <v>32</v>
      </c>
      <c r="C83">
        <v>0</v>
      </c>
      <c r="D83" t="s">
        <v>27</v>
      </c>
      <c r="E83" t="s">
        <v>27</v>
      </c>
      <c r="F83" t="s">
        <v>27</v>
      </c>
      <c r="G83" t="s">
        <v>27</v>
      </c>
      <c r="H83">
        <v>27.338999999999999</v>
      </c>
      <c r="I83">
        <v>14.901</v>
      </c>
      <c r="J83">
        <f t="shared" si="4"/>
        <v>7.4739999999999966</v>
      </c>
      <c r="K83">
        <v>4.9640000000000004</v>
      </c>
      <c r="L83">
        <v>2</v>
      </c>
      <c r="M83">
        <v>0</v>
      </c>
      <c r="N83">
        <v>1</v>
      </c>
      <c r="O83" t="s">
        <v>33</v>
      </c>
      <c r="P83" t="s">
        <v>34</v>
      </c>
      <c r="Q83">
        <v>0.129</v>
      </c>
      <c r="R83">
        <v>0.14000000000000001</v>
      </c>
      <c r="S83">
        <v>0.88600000000000001</v>
      </c>
      <c r="T83">
        <v>0.65100000000000002</v>
      </c>
      <c r="U83">
        <v>1.4790000000000001</v>
      </c>
      <c r="V83">
        <v>0.60599999999999998</v>
      </c>
      <c r="AA83">
        <f>IF(Attempts[[#This Row],[keystroke_result]]="logged in",1,0)</f>
        <v>1</v>
      </c>
      <c r="AB83">
        <f>IF(Attempts[[#This Row],[graphical_result]]="logged in",1,0)</f>
        <v>1</v>
      </c>
      <c r="AC83">
        <f>IF(Attempts[[#This Row],[mouse_result]]="logged in",1,0)</f>
        <v>1</v>
      </c>
      <c r="AD83">
        <f>IF(Attempts[[#This Row],[final_result]]="logged in",1,0)</f>
        <v>1</v>
      </c>
      <c r="AE83">
        <f>IF(Attempts[[#This Row],[is_impostor]]=0,1,0)</f>
        <v>1</v>
      </c>
      <c r="AF83">
        <f>IF(Attempts[[#This Row],[is_impostor]]=1,1,0)</f>
        <v>0</v>
      </c>
      <c r="AG83">
        <f>IF(AND(Attempts[[#This Row],[keystroke_pass]]=1,Attempts[[#This Row],[graphical_pass]]=1,Attempts[[#This Row],[mouse_pass]]=1),1,0)</f>
        <v>1</v>
      </c>
      <c r="AH83">
        <f>IF(AND(Attempts[[#This Row],[keystroke_pass]]=1, OR(Attempts[[#This Row],[graphical_pass]]=1, Attempts[[#This Row],[mouse_pass]]=1)), 1, 0)</f>
        <v>1</v>
      </c>
      <c r="AI83">
        <f>IF(Attempts[[#This Row],[final_result]]="logged in",Attempts[[#This Row],[login_attempt_number]],"")</f>
        <v>2</v>
      </c>
      <c r="AJ83">
        <f>IF(AND(Attempts[[#This Row],[is_impostor]]=0,Attempts[[#This Row],[final_result]]="logged in"),1,0)</f>
        <v>1</v>
      </c>
      <c r="AK83">
        <f>IF(AND(Attempts[[#This Row],[is_impostor]]=0,Attempts[[#This Row],[final_result]]="logged in",Attempts[[#This Row],[tries_to_success]]&gt;1),1,0)</f>
        <v>1</v>
      </c>
      <c r="AL83">
        <f>IF(Attempts[[#This Row],[prompt_match]]=0,1,0)</f>
        <v>0</v>
      </c>
    </row>
    <row r="84" spans="1:38">
      <c r="A84">
        <f t="shared" si="5"/>
        <v>83</v>
      </c>
      <c r="B84" t="s">
        <v>32</v>
      </c>
      <c r="C84">
        <v>0</v>
      </c>
      <c r="D84" t="s">
        <v>27</v>
      </c>
      <c r="E84" t="s">
        <v>27</v>
      </c>
      <c r="F84" t="s">
        <v>28</v>
      </c>
      <c r="G84" t="s">
        <v>27</v>
      </c>
      <c r="H84">
        <v>33.003999999999998</v>
      </c>
      <c r="I84">
        <v>17.483000000000001</v>
      </c>
      <c r="J84">
        <f t="shared" si="4"/>
        <v>11.536999999999999</v>
      </c>
      <c r="K84">
        <v>3.984</v>
      </c>
      <c r="L84">
        <v>1</v>
      </c>
      <c r="M84">
        <v>0</v>
      </c>
      <c r="N84">
        <v>1</v>
      </c>
      <c r="O84" t="s">
        <v>33</v>
      </c>
      <c r="P84" t="s">
        <v>34</v>
      </c>
      <c r="Q84">
        <v>6.7000000000000004E-2</v>
      </c>
      <c r="R84">
        <v>0.14599999999999999</v>
      </c>
      <c r="S84">
        <v>0.93799999999999994</v>
      </c>
      <c r="T84">
        <v>1.8069999999999999</v>
      </c>
      <c r="U84">
        <v>2.8490000000000002</v>
      </c>
      <c r="V84">
        <v>0.35599999999999998</v>
      </c>
      <c r="AA84">
        <f>IF(Attempts[[#This Row],[keystroke_result]]="logged in",1,0)</f>
        <v>1</v>
      </c>
      <c r="AB84">
        <f>IF(Attempts[[#This Row],[graphical_result]]="logged in",1,0)</f>
        <v>1</v>
      </c>
      <c r="AC84">
        <f>IF(Attempts[[#This Row],[mouse_result]]="logged in",1,0)</f>
        <v>0</v>
      </c>
      <c r="AD84">
        <f>IF(Attempts[[#This Row],[final_result]]="logged in",1,0)</f>
        <v>1</v>
      </c>
      <c r="AE84">
        <f>IF(Attempts[[#This Row],[is_impostor]]=0,1,0)</f>
        <v>1</v>
      </c>
      <c r="AF84">
        <f>IF(Attempts[[#This Row],[is_impostor]]=1,1,0)</f>
        <v>0</v>
      </c>
      <c r="AG84">
        <f>IF(AND(Attempts[[#This Row],[keystroke_pass]]=1,Attempts[[#This Row],[graphical_pass]]=1,Attempts[[#This Row],[mouse_pass]]=1),1,0)</f>
        <v>0</v>
      </c>
      <c r="AH84">
        <f>IF(AND(Attempts[[#This Row],[keystroke_pass]]=1, OR(Attempts[[#This Row],[graphical_pass]]=1, Attempts[[#This Row],[mouse_pass]]=1)), 1, 0)</f>
        <v>1</v>
      </c>
      <c r="AI84">
        <f>IF(Attempts[[#This Row],[final_result]]="logged in",Attempts[[#This Row],[login_attempt_number]],"")</f>
        <v>1</v>
      </c>
      <c r="AJ84">
        <f>IF(AND(Attempts[[#This Row],[is_impostor]]=0,Attempts[[#This Row],[final_result]]="logged in"),1,0)</f>
        <v>1</v>
      </c>
      <c r="AK84">
        <f>IF(AND(Attempts[[#This Row],[is_impostor]]=0,Attempts[[#This Row],[final_result]]="logged in",Attempts[[#This Row],[tries_to_success]]&gt;1),1,0)</f>
        <v>0</v>
      </c>
      <c r="AL84">
        <f>IF(Attempts[[#This Row],[prompt_match]]=0,1,0)</f>
        <v>0</v>
      </c>
    </row>
    <row r="85" spans="1:38">
      <c r="A85">
        <f t="shared" si="5"/>
        <v>84</v>
      </c>
      <c r="B85" t="s">
        <v>32</v>
      </c>
      <c r="C85">
        <v>0</v>
      </c>
      <c r="D85" t="s">
        <v>27</v>
      </c>
      <c r="E85" t="s">
        <v>27</v>
      </c>
      <c r="F85" t="s">
        <v>28</v>
      </c>
      <c r="G85" t="s">
        <v>27</v>
      </c>
      <c r="H85">
        <v>36.634999999999998</v>
      </c>
      <c r="I85">
        <v>13.92</v>
      </c>
      <c r="J85">
        <f t="shared" si="4"/>
        <v>8.3679999999999986</v>
      </c>
      <c r="K85">
        <v>14.347</v>
      </c>
      <c r="L85">
        <v>1</v>
      </c>
      <c r="M85">
        <v>0</v>
      </c>
      <c r="N85">
        <v>1</v>
      </c>
      <c r="O85" t="s">
        <v>33</v>
      </c>
      <c r="P85" t="s">
        <v>34</v>
      </c>
      <c r="Q85">
        <v>0.22900000000000001</v>
      </c>
      <c r="R85">
        <v>0.27600000000000002</v>
      </c>
      <c r="S85">
        <v>0.81399999999999995</v>
      </c>
      <c r="T85">
        <v>1.5069999999999999</v>
      </c>
      <c r="U85">
        <v>2.9260000000000002</v>
      </c>
      <c r="V85">
        <v>0.39900000000000002</v>
      </c>
      <c r="AA85">
        <f>IF(Attempts[[#This Row],[keystroke_result]]="logged in",1,0)</f>
        <v>1</v>
      </c>
      <c r="AB85">
        <f>IF(Attempts[[#This Row],[graphical_result]]="logged in",1,0)</f>
        <v>1</v>
      </c>
      <c r="AC85">
        <f>IF(Attempts[[#This Row],[mouse_result]]="logged in",1,0)</f>
        <v>0</v>
      </c>
      <c r="AD85">
        <f>IF(Attempts[[#This Row],[final_result]]="logged in",1,0)</f>
        <v>1</v>
      </c>
      <c r="AE85">
        <f>IF(Attempts[[#This Row],[is_impostor]]=0,1,0)</f>
        <v>1</v>
      </c>
      <c r="AF85">
        <f>IF(Attempts[[#This Row],[is_impostor]]=1,1,0)</f>
        <v>0</v>
      </c>
      <c r="AG85">
        <f>IF(AND(Attempts[[#This Row],[keystroke_pass]]=1,Attempts[[#This Row],[graphical_pass]]=1,Attempts[[#This Row],[mouse_pass]]=1),1,0)</f>
        <v>0</v>
      </c>
      <c r="AH85">
        <f>IF(AND(Attempts[[#This Row],[keystroke_pass]]=1, OR(Attempts[[#This Row],[graphical_pass]]=1, Attempts[[#This Row],[mouse_pass]]=1)), 1, 0)</f>
        <v>1</v>
      </c>
      <c r="AI85">
        <f>IF(Attempts[[#This Row],[final_result]]="logged in",Attempts[[#This Row],[login_attempt_number]],"")</f>
        <v>1</v>
      </c>
      <c r="AJ85">
        <f>IF(AND(Attempts[[#This Row],[is_impostor]]=0,Attempts[[#This Row],[final_result]]="logged in"),1,0)</f>
        <v>1</v>
      </c>
      <c r="AK85">
        <f>IF(AND(Attempts[[#This Row],[is_impostor]]=0,Attempts[[#This Row],[final_result]]="logged in",Attempts[[#This Row],[tries_to_success]]&gt;1),1,0)</f>
        <v>0</v>
      </c>
      <c r="AL85">
        <f>IF(Attempts[[#This Row],[prompt_match]]=0,1,0)</f>
        <v>0</v>
      </c>
    </row>
    <row r="86" spans="1:38">
      <c r="A86">
        <f t="shared" si="5"/>
        <v>85</v>
      </c>
      <c r="B86" t="s">
        <v>32</v>
      </c>
      <c r="C86">
        <v>0</v>
      </c>
      <c r="D86" t="s">
        <v>27</v>
      </c>
      <c r="E86" t="s">
        <v>27</v>
      </c>
      <c r="F86" t="s">
        <v>27</v>
      </c>
      <c r="G86" t="s">
        <v>27</v>
      </c>
      <c r="H86">
        <v>27.425000000000001</v>
      </c>
      <c r="I86">
        <v>14.352</v>
      </c>
      <c r="J86">
        <f t="shared" si="4"/>
        <v>8.1170000000000009</v>
      </c>
      <c r="K86">
        <v>4.9560000000000004</v>
      </c>
      <c r="L86">
        <v>1</v>
      </c>
      <c r="M86">
        <v>0</v>
      </c>
      <c r="N86">
        <v>1</v>
      </c>
      <c r="O86" t="s">
        <v>33</v>
      </c>
      <c r="P86" t="s">
        <v>34</v>
      </c>
      <c r="Q86">
        <v>0.13200000000000001</v>
      </c>
      <c r="R86">
        <v>0.27900000000000003</v>
      </c>
      <c r="S86">
        <v>0.88300000000000001</v>
      </c>
      <c r="T86">
        <v>0.69499999999999995</v>
      </c>
      <c r="U86">
        <v>1.667</v>
      </c>
      <c r="V86">
        <v>0.59</v>
      </c>
      <c r="AA86">
        <f>IF(Attempts[[#This Row],[keystroke_result]]="logged in",1,0)</f>
        <v>1</v>
      </c>
      <c r="AB86">
        <f>IF(Attempts[[#This Row],[graphical_result]]="logged in",1,0)</f>
        <v>1</v>
      </c>
      <c r="AC86">
        <f>IF(Attempts[[#This Row],[mouse_result]]="logged in",1,0)</f>
        <v>1</v>
      </c>
      <c r="AD86">
        <f>IF(Attempts[[#This Row],[final_result]]="logged in",1,0)</f>
        <v>1</v>
      </c>
      <c r="AE86">
        <f>IF(Attempts[[#This Row],[is_impostor]]=0,1,0)</f>
        <v>1</v>
      </c>
      <c r="AF86">
        <f>IF(Attempts[[#This Row],[is_impostor]]=1,1,0)</f>
        <v>0</v>
      </c>
      <c r="AG86">
        <f>IF(AND(Attempts[[#This Row],[keystroke_pass]]=1,Attempts[[#This Row],[graphical_pass]]=1,Attempts[[#This Row],[mouse_pass]]=1),1,0)</f>
        <v>1</v>
      </c>
      <c r="AH86">
        <f>IF(AND(Attempts[[#This Row],[keystroke_pass]]=1, OR(Attempts[[#This Row],[graphical_pass]]=1, Attempts[[#This Row],[mouse_pass]]=1)), 1, 0)</f>
        <v>1</v>
      </c>
      <c r="AI86">
        <f>IF(Attempts[[#This Row],[final_result]]="logged in",Attempts[[#This Row],[login_attempt_number]],"")</f>
        <v>1</v>
      </c>
      <c r="AJ86">
        <f>IF(AND(Attempts[[#This Row],[is_impostor]]=0,Attempts[[#This Row],[final_result]]="logged in"),1,0)</f>
        <v>1</v>
      </c>
      <c r="AK86">
        <f>IF(AND(Attempts[[#This Row],[is_impostor]]=0,Attempts[[#This Row],[final_result]]="logged in",Attempts[[#This Row],[tries_to_success]]&gt;1),1,0)</f>
        <v>0</v>
      </c>
      <c r="AL86">
        <f>IF(Attempts[[#This Row],[prompt_match]]=0,1,0)</f>
        <v>0</v>
      </c>
    </row>
    <row r="87" spans="1:38">
      <c r="A87">
        <f t="shared" si="5"/>
        <v>86</v>
      </c>
      <c r="B87" t="s">
        <v>32</v>
      </c>
      <c r="C87">
        <v>0</v>
      </c>
      <c r="D87" t="s">
        <v>27</v>
      </c>
      <c r="E87" t="s">
        <v>27</v>
      </c>
      <c r="F87" t="s">
        <v>28</v>
      </c>
      <c r="G87" t="s">
        <v>27</v>
      </c>
      <c r="H87">
        <v>29.254000000000001</v>
      </c>
      <c r="I87">
        <v>15.305999999999999</v>
      </c>
      <c r="J87">
        <f t="shared" si="4"/>
        <v>9.054000000000002</v>
      </c>
      <c r="K87">
        <v>4.8940000000000001</v>
      </c>
      <c r="L87">
        <v>1</v>
      </c>
      <c r="M87">
        <v>0</v>
      </c>
      <c r="N87">
        <v>1</v>
      </c>
      <c r="O87" t="s">
        <v>33</v>
      </c>
      <c r="P87" t="s">
        <v>34</v>
      </c>
      <c r="Q87">
        <v>0.22800000000000001</v>
      </c>
      <c r="R87">
        <v>0.40400000000000003</v>
      </c>
      <c r="S87">
        <v>0.81399999999999995</v>
      </c>
      <c r="T87">
        <v>1.036</v>
      </c>
      <c r="U87">
        <v>2.2669999999999999</v>
      </c>
      <c r="V87">
        <v>0.49099999999999999</v>
      </c>
      <c r="AA87">
        <f>IF(Attempts[[#This Row],[keystroke_result]]="logged in",1,0)</f>
        <v>1</v>
      </c>
      <c r="AB87">
        <f>IF(Attempts[[#This Row],[graphical_result]]="logged in",1,0)</f>
        <v>1</v>
      </c>
      <c r="AC87">
        <f>IF(Attempts[[#This Row],[mouse_result]]="logged in",1,0)</f>
        <v>0</v>
      </c>
      <c r="AD87">
        <f>IF(Attempts[[#This Row],[final_result]]="logged in",1,0)</f>
        <v>1</v>
      </c>
      <c r="AE87">
        <f>IF(Attempts[[#This Row],[is_impostor]]=0,1,0)</f>
        <v>1</v>
      </c>
      <c r="AF87">
        <f>IF(Attempts[[#This Row],[is_impostor]]=1,1,0)</f>
        <v>0</v>
      </c>
      <c r="AG87">
        <f>IF(AND(Attempts[[#This Row],[keystroke_pass]]=1,Attempts[[#This Row],[graphical_pass]]=1,Attempts[[#This Row],[mouse_pass]]=1),1,0)</f>
        <v>0</v>
      </c>
      <c r="AH87">
        <f>IF(AND(Attempts[[#This Row],[keystroke_pass]]=1, OR(Attempts[[#This Row],[graphical_pass]]=1, Attempts[[#This Row],[mouse_pass]]=1)), 1, 0)</f>
        <v>1</v>
      </c>
      <c r="AI87">
        <f>IF(Attempts[[#This Row],[final_result]]="logged in",Attempts[[#This Row],[login_attempt_number]],"")</f>
        <v>1</v>
      </c>
      <c r="AJ87">
        <f>IF(AND(Attempts[[#This Row],[is_impostor]]=0,Attempts[[#This Row],[final_result]]="logged in"),1,0)</f>
        <v>1</v>
      </c>
      <c r="AK87">
        <f>IF(AND(Attempts[[#This Row],[is_impostor]]=0,Attempts[[#This Row],[final_result]]="logged in",Attempts[[#This Row],[tries_to_success]]&gt;1),1,0)</f>
        <v>0</v>
      </c>
      <c r="AL87">
        <f>IF(Attempts[[#This Row],[prompt_match]]=0,1,0)</f>
        <v>0</v>
      </c>
    </row>
    <row r="88" spans="1:38">
      <c r="A88">
        <f t="shared" si="5"/>
        <v>87</v>
      </c>
      <c r="B88" t="s">
        <v>32</v>
      </c>
      <c r="C88">
        <v>0</v>
      </c>
      <c r="D88" t="s">
        <v>27</v>
      </c>
      <c r="E88" t="s">
        <v>27</v>
      </c>
      <c r="F88" t="s">
        <v>28</v>
      </c>
      <c r="G88" t="s">
        <v>27</v>
      </c>
      <c r="H88">
        <v>28.495000000000001</v>
      </c>
      <c r="I88">
        <v>13.301</v>
      </c>
      <c r="J88">
        <f t="shared" si="4"/>
        <v>9.7379999999999995</v>
      </c>
      <c r="K88">
        <v>5.4560000000000004</v>
      </c>
      <c r="L88">
        <v>1</v>
      </c>
      <c r="M88">
        <v>0</v>
      </c>
      <c r="N88">
        <v>1</v>
      </c>
      <c r="O88" t="s">
        <v>33</v>
      </c>
      <c r="P88" t="s">
        <v>34</v>
      </c>
      <c r="Q88">
        <v>3.5999999999999997E-2</v>
      </c>
      <c r="R88">
        <v>9.6000000000000002E-2</v>
      </c>
      <c r="S88">
        <v>0.96499999999999997</v>
      </c>
      <c r="T88">
        <v>1.8240000000000001</v>
      </c>
      <c r="U88">
        <v>3.347</v>
      </c>
      <c r="V88">
        <v>0.35399999999999998</v>
      </c>
      <c r="AA88">
        <f>IF(Attempts[[#This Row],[keystroke_result]]="logged in",1,0)</f>
        <v>1</v>
      </c>
      <c r="AB88">
        <f>IF(Attempts[[#This Row],[graphical_result]]="logged in",1,0)</f>
        <v>1</v>
      </c>
      <c r="AC88">
        <f>IF(Attempts[[#This Row],[mouse_result]]="logged in",1,0)</f>
        <v>0</v>
      </c>
      <c r="AD88">
        <f>IF(Attempts[[#This Row],[final_result]]="logged in",1,0)</f>
        <v>1</v>
      </c>
      <c r="AE88">
        <f>IF(Attempts[[#This Row],[is_impostor]]=0,1,0)</f>
        <v>1</v>
      </c>
      <c r="AF88">
        <f>IF(Attempts[[#This Row],[is_impostor]]=1,1,0)</f>
        <v>0</v>
      </c>
      <c r="AG88">
        <f>IF(AND(Attempts[[#This Row],[keystroke_pass]]=1,Attempts[[#This Row],[graphical_pass]]=1,Attempts[[#This Row],[mouse_pass]]=1),1,0)</f>
        <v>0</v>
      </c>
      <c r="AH88">
        <f>IF(AND(Attempts[[#This Row],[keystroke_pass]]=1, OR(Attempts[[#This Row],[graphical_pass]]=1, Attempts[[#This Row],[mouse_pass]]=1)), 1, 0)</f>
        <v>1</v>
      </c>
      <c r="AI88">
        <f>IF(Attempts[[#This Row],[final_result]]="logged in",Attempts[[#This Row],[login_attempt_number]],"")</f>
        <v>1</v>
      </c>
      <c r="AJ88">
        <f>IF(AND(Attempts[[#This Row],[is_impostor]]=0,Attempts[[#This Row],[final_result]]="logged in"),1,0)</f>
        <v>1</v>
      </c>
      <c r="AK88">
        <f>IF(AND(Attempts[[#This Row],[is_impostor]]=0,Attempts[[#This Row],[final_result]]="logged in",Attempts[[#This Row],[tries_to_success]]&gt;1),1,0)</f>
        <v>0</v>
      </c>
      <c r="AL88">
        <f>IF(Attempts[[#This Row],[prompt_match]]=0,1,0)</f>
        <v>0</v>
      </c>
    </row>
    <row r="89" spans="1:38">
      <c r="A89">
        <f t="shared" si="5"/>
        <v>88</v>
      </c>
      <c r="B89" t="s">
        <v>32</v>
      </c>
      <c r="C89">
        <v>0</v>
      </c>
      <c r="D89" t="s">
        <v>28</v>
      </c>
      <c r="E89" t="s">
        <v>27</v>
      </c>
      <c r="F89" t="s">
        <v>28</v>
      </c>
      <c r="G89" t="s">
        <v>28</v>
      </c>
      <c r="H89">
        <v>20.888000000000002</v>
      </c>
      <c r="I89">
        <v>9.1289999999999996</v>
      </c>
      <c r="J89">
        <f t="shared" si="4"/>
        <v>8.5070000000000014</v>
      </c>
      <c r="K89">
        <v>3.2519999999999998</v>
      </c>
      <c r="L89">
        <v>3</v>
      </c>
      <c r="M89">
        <v>0</v>
      </c>
      <c r="N89">
        <v>1</v>
      </c>
      <c r="O89" t="s">
        <v>33</v>
      </c>
      <c r="P89" t="s">
        <v>34</v>
      </c>
      <c r="Q89">
        <v>0.92100000000000004</v>
      </c>
      <c r="R89">
        <v>1.341</v>
      </c>
      <c r="S89">
        <v>0.52</v>
      </c>
      <c r="T89">
        <v>3.302</v>
      </c>
      <c r="U89">
        <v>4.3330000000000002</v>
      </c>
      <c r="V89">
        <v>0.23200000000000001</v>
      </c>
      <c r="AA89">
        <f>IF(Attempts[[#This Row],[keystroke_result]]="logged in",1,0)</f>
        <v>0</v>
      </c>
      <c r="AB89">
        <f>IF(Attempts[[#This Row],[graphical_result]]="logged in",1,0)</f>
        <v>1</v>
      </c>
      <c r="AC89">
        <f>IF(Attempts[[#This Row],[mouse_result]]="logged in",1,0)</f>
        <v>0</v>
      </c>
      <c r="AD89">
        <f>IF(Attempts[[#This Row],[final_result]]="logged in",1,0)</f>
        <v>0</v>
      </c>
      <c r="AE89">
        <f>IF(Attempts[[#This Row],[is_impostor]]=0,1,0)</f>
        <v>1</v>
      </c>
      <c r="AF89">
        <f>IF(Attempts[[#This Row],[is_impostor]]=1,1,0)</f>
        <v>0</v>
      </c>
      <c r="AG89">
        <f>IF(AND(Attempts[[#This Row],[keystroke_pass]]=1,Attempts[[#This Row],[graphical_pass]]=1,Attempts[[#This Row],[mouse_pass]]=1),1,0)</f>
        <v>0</v>
      </c>
      <c r="AH89">
        <f>IF(AND(Attempts[[#This Row],[keystroke_pass]]=1, OR(Attempts[[#This Row],[graphical_pass]]=1, Attempts[[#This Row],[mouse_pass]]=1)), 1, 0)</f>
        <v>0</v>
      </c>
      <c r="AI89" t="str">
        <f>IF(Attempts[[#This Row],[final_result]]="logged in",Attempts[[#This Row],[login_attempt_number]],"")</f>
        <v/>
      </c>
      <c r="AJ89">
        <f>IF(AND(Attempts[[#This Row],[is_impostor]]=0,Attempts[[#This Row],[final_result]]="logged in"),1,0)</f>
        <v>0</v>
      </c>
      <c r="AK89">
        <f>IF(AND(Attempts[[#This Row],[is_impostor]]=0,Attempts[[#This Row],[final_result]]="logged in",Attempts[[#This Row],[tries_to_success]]&gt;1),1,0)</f>
        <v>0</v>
      </c>
      <c r="AL89">
        <f>IF(Attempts[[#This Row],[prompt_match]]=0,1,0)</f>
        <v>0</v>
      </c>
    </row>
    <row r="90" spans="1:38">
      <c r="A90">
        <f t="shared" si="5"/>
        <v>89</v>
      </c>
      <c r="B90" t="s">
        <v>32</v>
      </c>
      <c r="C90">
        <v>0</v>
      </c>
      <c r="D90" t="s">
        <v>28</v>
      </c>
      <c r="E90" t="s">
        <v>27</v>
      </c>
      <c r="F90" t="s">
        <v>28</v>
      </c>
      <c r="G90" t="s">
        <v>28</v>
      </c>
      <c r="H90">
        <v>36.558999999999997</v>
      </c>
      <c r="I90">
        <v>13.427</v>
      </c>
      <c r="J90">
        <f t="shared" si="4"/>
        <v>18.446999999999999</v>
      </c>
      <c r="K90">
        <v>4.6849999999999996</v>
      </c>
      <c r="L90">
        <v>2</v>
      </c>
      <c r="M90">
        <v>0</v>
      </c>
      <c r="N90">
        <v>1</v>
      </c>
      <c r="O90" t="s">
        <v>33</v>
      </c>
      <c r="P90" t="s">
        <v>34</v>
      </c>
      <c r="Q90">
        <v>0.67800000000000005</v>
      </c>
      <c r="R90">
        <v>0.89500000000000002</v>
      </c>
      <c r="S90">
        <v>0.59599999999999997</v>
      </c>
      <c r="T90">
        <v>0.88700000000000001</v>
      </c>
      <c r="U90">
        <v>2.548</v>
      </c>
      <c r="V90">
        <v>0.53</v>
      </c>
      <c r="AA90">
        <f>IF(Attempts[[#This Row],[keystroke_result]]="logged in",1,0)</f>
        <v>0</v>
      </c>
      <c r="AB90">
        <f>IF(Attempts[[#This Row],[graphical_result]]="logged in",1,0)</f>
        <v>1</v>
      </c>
      <c r="AC90">
        <f>IF(Attempts[[#This Row],[mouse_result]]="logged in",1,0)</f>
        <v>0</v>
      </c>
      <c r="AD90">
        <f>IF(Attempts[[#This Row],[final_result]]="logged in",1,0)</f>
        <v>0</v>
      </c>
      <c r="AE90">
        <f>IF(Attempts[[#This Row],[is_impostor]]=0,1,0)</f>
        <v>1</v>
      </c>
      <c r="AF90">
        <f>IF(Attempts[[#This Row],[is_impostor]]=1,1,0)</f>
        <v>0</v>
      </c>
      <c r="AG90">
        <f>IF(AND(Attempts[[#This Row],[keystroke_pass]]=1,Attempts[[#This Row],[graphical_pass]]=1,Attempts[[#This Row],[mouse_pass]]=1),1,0)</f>
        <v>0</v>
      </c>
      <c r="AH90">
        <f>IF(AND(Attempts[[#This Row],[keystroke_pass]]=1, OR(Attempts[[#This Row],[graphical_pass]]=1, Attempts[[#This Row],[mouse_pass]]=1)), 1, 0)</f>
        <v>0</v>
      </c>
      <c r="AI90" t="str">
        <f>IF(Attempts[[#This Row],[final_result]]="logged in",Attempts[[#This Row],[login_attempt_number]],"")</f>
        <v/>
      </c>
      <c r="AJ90">
        <f>IF(AND(Attempts[[#This Row],[is_impostor]]=0,Attempts[[#This Row],[final_result]]="logged in"),1,0)</f>
        <v>0</v>
      </c>
      <c r="AK90">
        <f>IF(AND(Attempts[[#This Row],[is_impostor]]=0,Attempts[[#This Row],[final_result]]="logged in",Attempts[[#This Row],[tries_to_success]]&gt;1),1,0)</f>
        <v>0</v>
      </c>
      <c r="AL90">
        <f>IF(Attempts[[#This Row],[prompt_match]]=0,1,0)</f>
        <v>0</v>
      </c>
    </row>
    <row r="91" spans="1:38">
      <c r="A91">
        <f t="shared" si="5"/>
        <v>90</v>
      </c>
      <c r="B91" t="s">
        <v>32</v>
      </c>
      <c r="C91">
        <v>0</v>
      </c>
      <c r="D91" t="s">
        <v>28</v>
      </c>
      <c r="E91" t="s">
        <v>27</v>
      </c>
      <c r="F91" t="s">
        <v>28</v>
      </c>
      <c r="G91" t="s">
        <v>28</v>
      </c>
      <c r="H91">
        <v>46.78</v>
      </c>
      <c r="I91">
        <v>26.292000000000002</v>
      </c>
      <c r="J91">
        <f t="shared" si="4"/>
        <v>16.306999999999999</v>
      </c>
      <c r="K91">
        <v>4.181</v>
      </c>
      <c r="L91">
        <v>1</v>
      </c>
      <c r="M91">
        <v>0</v>
      </c>
      <c r="N91">
        <v>1</v>
      </c>
      <c r="O91" t="s">
        <v>33</v>
      </c>
      <c r="P91" t="s">
        <v>34</v>
      </c>
      <c r="Q91">
        <v>0.61599999999999999</v>
      </c>
      <c r="R91">
        <v>0.83699999999999997</v>
      </c>
      <c r="S91">
        <v>0.61899999999999999</v>
      </c>
      <c r="T91">
        <v>1.248</v>
      </c>
      <c r="U91">
        <v>3.06</v>
      </c>
      <c r="V91">
        <v>0.44500000000000001</v>
      </c>
      <c r="AA91">
        <f>IF(Attempts[[#This Row],[keystroke_result]]="logged in",1,0)</f>
        <v>0</v>
      </c>
      <c r="AB91">
        <f>IF(Attempts[[#This Row],[graphical_result]]="logged in",1,0)</f>
        <v>1</v>
      </c>
      <c r="AC91">
        <f>IF(Attempts[[#This Row],[mouse_result]]="logged in",1,0)</f>
        <v>0</v>
      </c>
      <c r="AD91">
        <f>IF(Attempts[[#This Row],[final_result]]="logged in",1,0)</f>
        <v>0</v>
      </c>
      <c r="AE91">
        <f>IF(Attempts[[#This Row],[is_impostor]]=0,1,0)</f>
        <v>1</v>
      </c>
      <c r="AF91">
        <f>IF(Attempts[[#This Row],[is_impostor]]=1,1,0)</f>
        <v>0</v>
      </c>
      <c r="AG91">
        <f>IF(AND(Attempts[[#This Row],[keystroke_pass]]=1,Attempts[[#This Row],[graphical_pass]]=1,Attempts[[#This Row],[mouse_pass]]=1),1,0)</f>
        <v>0</v>
      </c>
      <c r="AH91">
        <f>IF(AND(Attempts[[#This Row],[keystroke_pass]]=1, OR(Attempts[[#This Row],[graphical_pass]]=1, Attempts[[#This Row],[mouse_pass]]=1)), 1, 0)</f>
        <v>0</v>
      </c>
      <c r="AI91" t="str">
        <f>IF(Attempts[[#This Row],[final_result]]="logged in",Attempts[[#This Row],[login_attempt_number]],"")</f>
        <v/>
      </c>
      <c r="AJ91">
        <f>IF(AND(Attempts[[#This Row],[is_impostor]]=0,Attempts[[#This Row],[final_result]]="logged in"),1,0)</f>
        <v>0</v>
      </c>
      <c r="AK91">
        <f>IF(AND(Attempts[[#This Row],[is_impostor]]=0,Attempts[[#This Row],[final_result]]="logged in",Attempts[[#This Row],[tries_to_success]]&gt;1),1,0)</f>
        <v>0</v>
      </c>
      <c r="AL91">
        <f>IF(Attempts[[#This Row],[prompt_match]]=0,1,0)</f>
        <v>0</v>
      </c>
    </row>
    <row r="92" spans="1:38">
      <c r="A92">
        <f t="shared" si="5"/>
        <v>91</v>
      </c>
      <c r="B92" t="s">
        <v>35</v>
      </c>
      <c r="C92">
        <v>0</v>
      </c>
      <c r="D92" t="s">
        <v>27</v>
      </c>
      <c r="E92" t="s">
        <v>27</v>
      </c>
      <c r="F92" t="s">
        <v>27</v>
      </c>
      <c r="G92" t="s">
        <v>27</v>
      </c>
      <c r="H92">
        <v>27.553999999999998</v>
      </c>
      <c r="I92">
        <v>12.241</v>
      </c>
      <c r="J92">
        <f t="shared" si="4"/>
        <v>10.038</v>
      </c>
      <c r="K92">
        <v>5.2750000000000004</v>
      </c>
      <c r="L92">
        <v>1</v>
      </c>
      <c r="M92">
        <v>0</v>
      </c>
      <c r="N92">
        <v>1</v>
      </c>
      <c r="O92" t="s">
        <v>36</v>
      </c>
      <c r="P92" t="s">
        <v>37</v>
      </c>
      <c r="Q92">
        <v>0.26</v>
      </c>
      <c r="R92">
        <v>0.33700000000000002</v>
      </c>
      <c r="S92">
        <v>0.79400000000000004</v>
      </c>
      <c r="T92">
        <v>0.60699999999999998</v>
      </c>
      <c r="U92">
        <v>0.97199999999999998</v>
      </c>
      <c r="V92">
        <v>0.622</v>
      </c>
      <c r="AA92">
        <f>IF(Attempts[[#This Row],[keystroke_result]]="logged in",1,0)</f>
        <v>1</v>
      </c>
      <c r="AB92">
        <f>IF(Attempts[[#This Row],[graphical_result]]="logged in",1,0)</f>
        <v>1</v>
      </c>
      <c r="AC92">
        <f>IF(Attempts[[#This Row],[mouse_result]]="logged in",1,0)</f>
        <v>1</v>
      </c>
      <c r="AD92">
        <f>IF(Attempts[[#This Row],[final_result]]="logged in",1,0)</f>
        <v>1</v>
      </c>
      <c r="AE92">
        <f>IF(Attempts[[#This Row],[is_impostor]]=0,1,0)</f>
        <v>1</v>
      </c>
      <c r="AF92">
        <f>IF(Attempts[[#This Row],[is_impostor]]=1,1,0)</f>
        <v>0</v>
      </c>
      <c r="AG92">
        <f>IF(AND(Attempts[[#This Row],[keystroke_pass]]=1,Attempts[[#This Row],[graphical_pass]]=1,Attempts[[#This Row],[mouse_pass]]=1),1,0)</f>
        <v>1</v>
      </c>
      <c r="AH92">
        <f>IF(AND(Attempts[[#This Row],[keystroke_pass]]=1, OR(Attempts[[#This Row],[graphical_pass]]=1, Attempts[[#This Row],[mouse_pass]]=1)), 1, 0)</f>
        <v>1</v>
      </c>
      <c r="AI92">
        <f>IF(Attempts[[#This Row],[final_result]]="logged in",Attempts[[#This Row],[login_attempt_number]],"")</f>
        <v>1</v>
      </c>
      <c r="AJ92">
        <f>IF(AND(Attempts[[#This Row],[is_impostor]]=0,Attempts[[#This Row],[final_result]]="logged in"),1,0)</f>
        <v>1</v>
      </c>
      <c r="AK92">
        <f>IF(AND(Attempts[[#This Row],[is_impostor]]=0,Attempts[[#This Row],[final_result]]="logged in",Attempts[[#This Row],[tries_to_success]]&gt;1),1,0)</f>
        <v>0</v>
      </c>
      <c r="AL92">
        <f>IF(Attempts[[#This Row],[prompt_match]]=0,1,0)</f>
        <v>0</v>
      </c>
    </row>
    <row r="93" spans="1:38">
      <c r="A93">
        <f t="shared" si="5"/>
        <v>92</v>
      </c>
      <c r="B93" t="s">
        <v>35</v>
      </c>
      <c r="C93">
        <v>0</v>
      </c>
      <c r="D93" t="s">
        <v>27</v>
      </c>
      <c r="E93" t="s">
        <v>27</v>
      </c>
      <c r="F93" t="s">
        <v>28</v>
      </c>
      <c r="G93" t="s">
        <v>27</v>
      </c>
      <c r="H93">
        <v>29.13</v>
      </c>
      <c r="I93">
        <v>17.187999999999999</v>
      </c>
      <c r="J93">
        <f t="shared" si="4"/>
        <v>7.0970000000000013</v>
      </c>
      <c r="K93">
        <v>4.8449999999999998</v>
      </c>
      <c r="L93">
        <v>1</v>
      </c>
      <c r="M93">
        <v>0</v>
      </c>
      <c r="N93">
        <v>1</v>
      </c>
      <c r="O93" t="s">
        <v>36</v>
      </c>
      <c r="P93" t="s">
        <v>37</v>
      </c>
      <c r="Q93">
        <v>4.5999999999999999E-2</v>
      </c>
      <c r="R93">
        <v>7.2999999999999995E-2</v>
      </c>
      <c r="S93">
        <v>0.95599999999999996</v>
      </c>
      <c r="T93">
        <v>1.2010000000000001</v>
      </c>
      <c r="U93">
        <v>2.1720000000000002</v>
      </c>
      <c r="V93">
        <v>0.45400000000000001</v>
      </c>
      <c r="AA93">
        <f>IF(Attempts[[#This Row],[keystroke_result]]="logged in",1,0)</f>
        <v>1</v>
      </c>
      <c r="AB93">
        <f>IF(Attempts[[#This Row],[graphical_result]]="logged in",1,0)</f>
        <v>1</v>
      </c>
      <c r="AC93">
        <f>IF(Attempts[[#This Row],[mouse_result]]="logged in",1,0)</f>
        <v>0</v>
      </c>
      <c r="AD93">
        <f>IF(Attempts[[#This Row],[final_result]]="logged in",1,0)</f>
        <v>1</v>
      </c>
      <c r="AE93">
        <f>IF(Attempts[[#This Row],[is_impostor]]=0,1,0)</f>
        <v>1</v>
      </c>
      <c r="AF93">
        <f>IF(Attempts[[#This Row],[is_impostor]]=1,1,0)</f>
        <v>0</v>
      </c>
      <c r="AG93">
        <f>IF(AND(Attempts[[#This Row],[keystroke_pass]]=1,Attempts[[#This Row],[graphical_pass]]=1,Attempts[[#This Row],[mouse_pass]]=1),1,0)</f>
        <v>0</v>
      </c>
      <c r="AH93">
        <f>IF(AND(Attempts[[#This Row],[keystroke_pass]]=1, OR(Attempts[[#This Row],[graphical_pass]]=1, Attempts[[#This Row],[mouse_pass]]=1)), 1, 0)</f>
        <v>1</v>
      </c>
      <c r="AI93">
        <f>IF(Attempts[[#This Row],[final_result]]="logged in",Attempts[[#This Row],[login_attempt_number]],"")</f>
        <v>1</v>
      </c>
      <c r="AJ93">
        <f>IF(AND(Attempts[[#This Row],[is_impostor]]=0,Attempts[[#This Row],[final_result]]="logged in"),1,0)</f>
        <v>1</v>
      </c>
      <c r="AK93">
        <f>IF(AND(Attempts[[#This Row],[is_impostor]]=0,Attempts[[#This Row],[final_result]]="logged in",Attempts[[#This Row],[tries_to_success]]&gt;1),1,0)</f>
        <v>0</v>
      </c>
      <c r="AL93">
        <f>IF(Attempts[[#This Row],[prompt_match]]=0,1,0)</f>
        <v>0</v>
      </c>
    </row>
    <row r="94" spans="1:38">
      <c r="A94">
        <f t="shared" si="5"/>
        <v>93</v>
      </c>
      <c r="B94" t="s">
        <v>35</v>
      </c>
      <c r="C94">
        <v>0</v>
      </c>
      <c r="D94" t="s">
        <v>27</v>
      </c>
      <c r="E94" t="s">
        <v>27</v>
      </c>
      <c r="F94" t="s">
        <v>28</v>
      </c>
      <c r="G94" t="s">
        <v>27</v>
      </c>
      <c r="H94">
        <v>26.332000000000001</v>
      </c>
      <c r="I94">
        <v>13.272</v>
      </c>
      <c r="J94">
        <f t="shared" si="4"/>
        <v>8.8070000000000022</v>
      </c>
      <c r="K94">
        <v>4.2530000000000001</v>
      </c>
      <c r="L94">
        <v>1</v>
      </c>
      <c r="M94">
        <v>0</v>
      </c>
      <c r="N94">
        <v>1</v>
      </c>
      <c r="O94" t="s">
        <v>36</v>
      </c>
      <c r="P94" t="s">
        <v>37</v>
      </c>
      <c r="Q94">
        <v>0.28199999999999997</v>
      </c>
      <c r="R94">
        <v>0.42199999999999999</v>
      </c>
      <c r="S94">
        <v>0.78</v>
      </c>
      <c r="T94">
        <v>2.452</v>
      </c>
      <c r="U94">
        <v>4.5170000000000003</v>
      </c>
      <c r="V94">
        <v>0.28999999999999998</v>
      </c>
      <c r="AA94">
        <f>IF(Attempts[[#This Row],[keystroke_result]]="logged in",1,0)</f>
        <v>1</v>
      </c>
      <c r="AB94">
        <f>IF(Attempts[[#This Row],[graphical_result]]="logged in",1,0)</f>
        <v>1</v>
      </c>
      <c r="AC94">
        <f>IF(Attempts[[#This Row],[mouse_result]]="logged in",1,0)</f>
        <v>0</v>
      </c>
      <c r="AD94">
        <f>IF(Attempts[[#This Row],[final_result]]="logged in",1,0)</f>
        <v>1</v>
      </c>
      <c r="AE94">
        <f>IF(Attempts[[#This Row],[is_impostor]]=0,1,0)</f>
        <v>1</v>
      </c>
      <c r="AF94">
        <f>IF(Attempts[[#This Row],[is_impostor]]=1,1,0)</f>
        <v>0</v>
      </c>
      <c r="AG94">
        <f>IF(AND(Attempts[[#This Row],[keystroke_pass]]=1,Attempts[[#This Row],[graphical_pass]]=1,Attempts[[#This Row],[mouse_pass]]=1),1,0)</f>
        <v>0</v>
      </c>
      <c r="AH94">
        <f>IF(AND(Attempts[[#This Row],[keystroke_pass]]=1, OR(Attempts[[#This Row],[graphical_pass]]=1, Attempts[[#This Row],[mouse_pass]]=1)), 1, 0)</f>
        <v>1</v>
      </c>
      <c r="AI94">
        <f>IF(Attempts[[#This Row],[final_result]]="logged in",Attempts[[#This Row],[login_attempt_number]],"")</f>
        <v>1</v>
      </c>
      <c r="AJ94">
        <f>IF(AND(Attempts[[#This Row],[is_impostor]]=0,Attempts[[#This Row],[final_result]]="logged in"),1,0)</f>
        <v>1</v>
      </c>
      <c r="AK94">
        <f>IF(AND(Attempts[[#This Row],[is_impostor]]=0,Attempts[[#This Row],[final_result]]="logged in",Attempts[[#This Row],[tries_to_success]]&gt;1),1,0)</f>
        <v>0</v>
      </c>
      <c r="AL94">
        <f>IF(Attempts[[#This Row],[prompt_match]]=0,1,0)</f>
        <v>0</v>
      </c>
    </row>
    <row r="95" spans="1:38">
      <c r="A95">
        <f t="shared" si="5"/>
        <v>94</v>
      </c>
      <c r="B95" t="s">
        <v>35</v>
      </c>
      <c r="C95">
        <v>0</v>
      </c>
      <c r="D95" t="s">
        <v>27</v>
      </c>
      <c r="E95" t="s">
        <v>27</v>
      </c>
      <c r="F95" t="s">
        <v>28</v>
      </c>
      <c r="G95" t="s">
        <v>27</v>
      </c>
      <c r="H95">
        <v>37.17</v>
      </c>
      <c r="I95">
        <v>23.466999999999999</v>
      </c>
      <c r="J95">
        <f t="shared" si="4"/>
        <v>9.4390000000000036</v>
      </c>
      <c r="K95">
        <v>4.2640000000000002</v>
      </c>
      <c r="L95">
        <v>1</v>
      </c>
      <c r="M95">
        <v>0</v>
      </c>
      <c r="N95">
        <v>1</v>
      </c>
      <c r="O95" t="s">
        <v>36</v>
      </c>
      <c r="P95" t="s">
        <v>37</v>
      </c>
      <c r="Q95">
        <v>0.157</v>
      </c>
      <c r="R95">
        <v>0.39100000000000001</v>
      </c>
      <c r="S95">
        <v>0.86499999999999999</v>
      </c>
      <c r="T95">
        <v>1.821</v>
      </c>
      <c r="U95">
        <v>3.161</v>
      </c>
      <c r="V95">
        <v>0.35399999999999998</v>
      </c>
      <c r="AA95">
        <f>IF(Attempts[[#This Row],[keystroke_result]]="logged in",1,0)</f>
        <v>1</v>
      </c>
      <c r="AB95">
        <f>IF(Attempts[[#This Row],[graphical_result]]="logged in",1,0)</f>
        <v>1</v>
      </c>
      <c r="AC95">
        <f>IF(Attempts[[#This Row],[mouse_result]]="logged in",1,0)</f>
        <v>0</v>
      </c>
      <c r="AD95">
        <f>IF(Attempts[[#This Row],[final_result]]="logged in",1,0)</f>
        <v>1</v>
      </c>
      <c r="AE95">
        <f>IF(Attempts[[#This Row],[is_impostor]]=0,1,0)</f>
        <v>1</v>
      </c>
      <c r="AF95">
        <f>IF(Attempts[[#This Row],[is_impostor]]=1,1,0)</f>
        <v>0</v>
      </c>
      <c r="AG95">
        <f>IF(AND(Attempts[[#This Row],[keystroke_pass]]=1,Attempts[[#This Row],[graphical_pass]]=1,Attempts[[#This Row],[mouse_pass]]=1),1,0)</f>
        <v>0</v>
      </c>
      <c r="AH95">
        <f>IF(AND(Attempts[[#This Row],[keystroke_pass]]=1, OR(Attempts[[#This Row],[graphical_pass]]=1, Attempts[[#This Row],[mouse_pass]]=1)), 1, 0)</f>
        <v>1</v>
      </c>
      <c r="AI95">
        <f>IF(Attempts[[#This Row],[final_result]]="logged in",Attempts[[#This Row],[login_attempt_number]],"")</f>
        <v>1</v>
      </c>
      <c r="AJ95">
        <f>IF(AND(Attempts[[#This Row],[is_impostor]]=0,Attempts[[#This Row],[final_result]]="logged in"),1,0)</f>
        <v>1</v>
      </c>
      <c r="AK95">
        <f>IF(AND(Attempts[[#This Row],[is_impostor]]=0,Attempts[[#This Row],[final_result]]="logged in",Attempts[[#This Row],[tries_to_success]]&gt;1),1,0)</f>
        <v>0</v>
      </c>
      <c r="AL95">
        <f>IF(Attempts[[#This Row],[prompt_match]]=0,1,0)</f>
        <v>0</v>
      </c>
    </row>
    <row r="96" spans="1:38">
      <c r="A96">
        <f t="shared" si="5"/>
        <v>95</v>
      </c>
      <c r="B96" t="s">
        <v>35</v>
      </c>
      <c r="C96">
        <v>0</v>
      </c>
      <c r="D96" t="s">
        <v>27</v>
      </c>
      <c r="E96" t="s">
        <v>27</v>
      </c>
      <c r="F96" t="s">
        <v>28</v>
      </c>
      <c r="G96" t="s">
        <v>27</v>
      </c>
      <c r="H96">
        <v>28.869</v>
      </c>
      <c r="I96">
        <v>12.696999999999999</v>
      </c>
      <c r="J96">
        <f t="shared" si="4"/>
        <v>11.396999999999998</v>
      </c>
      <c r="K96">
        <v>4.7750000000000004</v>
      </c>
      <c r="L96">
        <v>1</v>
      </c>
      <c r="M96">
        <v>0</v>
      </c>
      <c r="N96">
        <v>1</v>
      </c>
      <c r="O96" t="s">
        <v>36</v>
      </c>
      <c r="P96" t="s">
        <v>37</v>
      </c>
      <c r="Q96">
        <v>0.32200000000000001</v>
      </c>
      <c r="R96">
        <v>0.38500000000000001</v>
      </c>
      <c r="S96">
        <v>0.75600000000000001</v>
      </c>
      <c r="T96">
        <v>1.2849999999999999</v>
      </c>
      <c r="U96">
        <v>1.9419999999999999</v>
      </c>
      <c r="V96">
        <v>0.438</v>
      </c>
      <c r="AA96">
        <f>IF(Attempts[[#This Row],[keystroke_result]]="logged in",1,0)</f>
        <v>1</v>
      </c>
      <c r="AB96">
        <f>IF(Attempts[[#This Row],[graphical_result]]="logged in",1,0)</f>
        <v>1</v>
      </c>
      <c r="AC96">
        <f>IF(Attempts[[#This Row],[mouse_result]]="logged in",1,0)</f>
        <v>0</v>
      </c>
      <c r="AD96">
        <f>IF(Attempts[[#This Row],[final_result]]="logged in",1,0)</f>
        <v>1</v>
      </c>
      <c r="AE96">
        <f>IF(Attempts[[#This Row],[is_impostor]]=0,1,0)</f>
        <v>1</v>
      </c>
      <c r="AF96">
        <f>IF(Attempts[[#This Row],[is_impostor]]=1,1,0)</f>
        <v>0</v>
      </c>
      <c r="AG96">
        <f>IF(AND(Attempts[[#This Row],[keystroke_pass]]=1,Attempts[[#This Row],[graphical_pass]]=1,Attempts[[#This Row],[mouse_pass]]=1),1,0)</f>
        <v>0</v>
      </c>
      <c r="AH96">
        <f>IF(AND(Attempts[[#This Row],[keystroke_pass]]=1, OR(Attempts[[#This Row],[graphical_pass]]=1, Attempts[[#This Row],[mouse_pass]]=1)), 1, 0)</f>
        <v>1</v>
      </c>
      <c r="AI96">
        <f>IF(Attempts[[#This Row],[final_result]]="logged in",Attempts[[#This Row],[login_attempt_number]],"")</f>
        <v>1</v>
      </c>
      <c r="AJ96">
        <f>IF(AND(Attempts[[#This Row],[is_impostor]]=0,Attempts[[#This Row],[final_result]]="logged in"),1,0)</f>
        <v>1</v>
      </c>
      <c r="AK96">
        <f>IF(AND(Attempts[[#This Row],[is_impostor]]=0,Attempts[[#This Row],[final_result]]="logged in",Attempts[[#This Row],[tries_to_success]]&gt;1),1,0)</f>
        <v>0</v>
      </c>
      <c r="AL96">
        <f>IF(Attempts[[#This Row],[prompt_match]]=0,1,0)</f>
        <v>0</v>
      </c>
    </row>
    <row r="97" spans="1:38">
      <c r="A97">
        <f t="shared" si="5"/>
        <v>96</v>
      </c>
      <c r="B97" t="s">
        <v>35</v>
      </c>
      <c r="C97">
        <v>0</v>
      </c>
      <c r="D97" t="s">
        <v>27</v>
      </c>
      <c r="E97" t="s">
        <v>27</v>
      </c>
      <c r="F97" t="s">
        <v>28</v>
      </c>
      <c r="G97" t="s">
        <v>27</v>
      </c>
      <c r="H97">
        <v>29.193999999999999</v>
      </c>
      <c r="I97">
        <v>14.3</v>
      </c>
      <c r="J97">
        <f t="shared" si="4"/>
        <v>11.238</v>
      </c>
      <c r="K97">
        <v>3.6560000000000001</v>
      </c>
      <c r="L97">
        <v>2</v>
      </c>
      <c r="M97">
        <v>0</v>
      </c>
      <c r="N97">
        <v>1</v>
      </c>
      <c r="O97" t="s">
        <v>36</v>
      </c>
      <c r="P97" t="s">
        <v>37</v>
      </c>
      <c r="Q97">
        <v>0.219</v>
      </c>
      <c r="R97">
        <v>0.29499999999999998</v>
      </c>
      <c r="S97">
        <v>0.82</v>
      </c>
      <c r="T97">
        <v>2.1469999999999998</v>
      </c>
      <c r="U97">
        <v>4.7750000000000004</v>
      </c>
      <c r="V97">
        <v>0.318</v>
      </c>
      <c r="AA97">
        <f>IF(Attempts[[#This Row],[keystroke_result]]="logged in",1,0)</f>
        <v>1</v>
      </c>
      <c r="AB97">
        <f>IF(Attempts[[#This Row],[graphical_result]]="logged in",1,0)</f>
        <v>1</v>
      </c>
      <c r="AC97">
        <f>IF(Attempts[[#This Row],[mouse_result]]="logged in",1,0)</f>
        <v>0</v>
      </c>
      <c r="AD97">
        <f>IF(Attempts[[#This Row],[final_result]]="logged in",1,0)</f>
        <v>1</v>
      </c>
      <c r="AE97">
        <f>IF(Attempts[[#This Row],[is_impostor]]=0,1,0)</f>
        <v>1</v>
      </c>
      <c r="AF97">
        <f>IF(Attempts[[#This Row],[is_impostor]]=1,1,0)</f>
        <v>0</v>
      </c>
      <c r="AG97">
        <f>IF(AND(Attempts[[#This Row],[keystroke_pass]]=1,Attempts[[#This Row],[graphical_pass]]=1,Attempts[[#This Row],[mouse_pass]]=1),1,0)</f>
        <v>0</v>
      </c>
      <c r="AH97">
        <f>IF(AND(Attempts[[#This Row],[keystroke_pass]]=1, OR(Attempts[[#This Row],[graphical_pass]]=1, Attempts[[#This Row],[mouse_pass]]=1)), 1, 0)</f>
        <v>1</v>
      </c>
      <c r="AI97">
        <f>IF(Attempts[[#This Row],[final_result]]="logged in",Attempts[[#This Row],[login_attempt_number]],"")</f>
        <v>2</v>
      </c>
      <c r="AJ97">
        <f>IF(AND(Attempts[[#This Row],[is_impostor]]=0,Attempts[[#This Row],[final_result]]="logged in"),1,0)</f>
        <v>1</v>
      </c>
      <c r="AK97">
        <f>IF(AND(Attempts[[#This Row],[is_impostor]]=0,Attempts[[#This Row],[final_result]]="logged in",Attempts[[#This Row],[tries_to_success]]&gt;1),1,0)</f>
        <v>1</v>
      </c>
      <c r="AL97">
        <f>IF(Attempts[[#This Row],[prompt_match]]=0,1,0)</f>
        <v>0</v>
      </c>
    </row>
    <row r="98" spans="1:38">
      <c r="A98">
        <f t="shared" si="5"/>
        <v>97</v>
      </c>
      <c r="B98" t="s">
        <v>35</v>
      </c>
      <c r="C98">
        <v>0</v>
      </c>
      <c r="D98" t="s">
        <v>27</v>
      </c>
      <c r="E98" t="s">
        <v>27</v>
      </c>
      <c r="F98" t="s">
        <v>28</v>
      </c>
      <c r="G98" t="s">
        <v>27</v>
      </c>
      <c r="H98">
        <v>24.248000000000001</v>
      </c>
      <c r="I98">
        <v>11.098000000000001</v>
      </c>
      <c r="J98">
        <f t="shared" ref="J98:J121" si="6">H98-(I98+K98)</f>
        <v>7.2530000000000001</v>
      </c>
      <c r="K98">
        <v>5.8970000000000002</v>
      </c>
      <c r="L98">
        <v>2</v>
      </c>
      <c r="M98">
        <v>0</v>
      </c>
      <c r="N98">
        <v>1</v>
      </c>
      <c r="O98" t="s">
        <v>36</v>
      </c>
      <c r="P98" t="s">
        <v>37</v>
      </c>
      <c r="Q98">
        <v>0.248</v>
      </c>
      <c r="R98">
        <v>0.28999999999999998</v>
      </c>
      <c r="S98">
        <v>0.80100000000000005</v>
      </c>
      <c r="T98">
        <v>1.272</v>
      </c>
      <c r="U98">
        <v>2.75</v>
      </c>
      <c r="V98">
        <v>0.44</v>
      </c>
      <c r="AA98">
        <f>IF(Attempts[[#This Row],[keystroke_result]]="logged in",1,0)</f>
        <v>1</v>
      </c>
      <c r="AB98">
        <f>IF(Attempts[[#This Row],[graphical_result]]="logged in",1,0)</f>
        <v>1</v>
      </c>
      <c r="AC98">
        <f>IF(Attempts[[#This Row],[mouse_result]]="logged in",1,0)</f>
        <v>0</v>
      </c>
      <c r="AD98">
        <f>IF(Attempts[[#This Row],[final_result]]="logged in",1,0)</f>
        <v>1</v>
      </c>
      <c r="AE98">
        <f>IF(Attempts[[#This Row],[is_impostor]]=0,1,0)</f>
        <v>1</v>
      </c>
      <c r="AF98">
        <f>IF(Attempts[[#This Row],[is_impostor]]=1,1,0)</f>
        <v>0</v>
      </c>
      <c r="AG98">
        <f>IF(AND(Attempts[[#This Row],[keystroke_pass]]=1,Attempts[[#This Row],[graphical_pass]]=1,Attempts[[#This Row],[mouse_pass]]=1),1,0)</f>
        <v>0</v>
      </c>
      <c r="AH98">
        <f>IF(AND(Attempts[[#This Row],[keystroke_pass]]=1, OR(Attempts[[#This Row],[graphical_pass]]=1, Attempts[[#This Row],[mouse_pass]]=1)), 1, 0)</f>
        <v>1</v>
      </c>
      <c r="AI98">
        <f>IF(Attempts[[#This Row],[final_result]]="logged in",Attempts[[#This Row],[login_attempt_number]],"")</f>
        <v>2</v>
      </c>
      <c r="AJ98">
        <f>IF(AND(Attempts[[#This Row],[is_impostor]]=0,Attempts[[#This Row],[final_result]]="logged in"),1,0)</f>
        <v>1</v>
      </c>
      <c r="AK98">
        <f>IF(AND(Attempts[[#This Row],[is_impostor]]=0,Attempts[[#This Row],[final_result]]="logged in",Attempts[[#This Row],[tries_to_success]]&gt;1),1,0)</f>
        <v>1</v>
      </c>
      <c r="AL98">
        <f>IF(Attempts[[#This Row],[prompt_match]]=0,1,0)</f>
        <v>0</v>
      </c>
    </row>
    <row r="99" spans="1:38">
      <c r="A99">
        <f t="shared" ref="A99:A121" si="7">A98+1</f>
        <v>98</v>
      </c>
      <c r="B99" t="s">
        <v>35</v>
      </c>
      <c r="C99">
        <v>0</v>
      </c>
      <c r="D99" t="s">
        <v>28</v>
      </c>
      <c r="E99" t="s">
        <v>27</v>
      </c>
      <c r="F99" t="s">
        <v>27</v>
      </c>
      <c r="G99" t="s">
        <v>28</v>
      </c>
      <c r="H99">
        <v>35.972999999999999</v>
      </c>
      <c r="I99">
        <v>20.760999999999999</v>
      </c>
      <c r="J99">
        <f t="shared" si="6"/>
        <v>10.544</v>
      </c>
      <c r="K99">
        <v>4.6680000000000001</v>
      </c>
      <c r="L99">
        <v>1</v>
      </c>
      <c r="M99">
        <v>0</v>
      </c>
      <c r="N99">
        <v>1</v>
      </c>
      <c r="O99" t="s">
        <v>36</v>
      </c>
      <c r="P99" t="s">
        <v>37</v>
      </c>
      <c r="Q99">
        <v>9.1790000000000003</v>
      </c>
      <c r="R99">
        <v>35.81</v>
      </c>
      <c r="S99">
        <v>9.8000000000000004E-2</v>
      </c>
      <c r="T99">
        <v>0.495</v>
      </c>
      <c r="U99">
        <v>0.93600000000000005</v>
      </c>
      <c r="V99">
        <v>0.66900000000000004</v>
      </c>
      <c r="AA99">
        <f>IF(Attempts[[#This Row],[keystroke_result]]="logged in",1,0)</f>
        <v>0</v>
      </c>
      <c r="AB99">
        <f>IF(Attempts[[#This Row],[graphical_result]]="logged in",1,0)</f>
        <v>1</v>
      </c>
      <c r="AC99">
        <f>IF(Attempts[[#This Row],[mouse_result]]="logged in",1,0)</f>
        <v>1</v>
      </c>
      <c r="AD99">
        <f>IF(Attempts[[#This Row],[final_result]]="logged in",1,0)</f>
        <v>0</v>
      </c>
      <c r="AE99">
        <f>IF(Attempts[[#This Row],[is_impostor]]=0,1,0)</f>
        <v>1</v>
      </c>
      <c r="AF99">
        <f>IF(Attempts[[#This Row],[is_impostor]]=1,1,0)</f>
        <v>0</v>
      </c>
      <c r="AG99">
        <f>IF(AND(Attempts[[#This Row],[keystroke_pass]]=1,Attempts[[#This Row],[graphical_pass]]=1,Attempts[[#This Row],[mouse_pass]]=1),1,0)</f>
        <v>0</v>
      </c>
      <c r="AH99">
        <f>IF(AND(Attempts[[#This Row],[keystroke_pass]]=1, OR(Attempts[[#This Row],[graphical_pass]]=1, Attempts[[#This Row],[mouse_pass]]=1)), 1, 0)</f>
        <v>0</v>
      </c>
      <c r="AI99" t="str">
        <f>IF(Attempts[[#This Row],[final_result]]="logged in",Attempts[[#This Row],[login_attempt_number]],"")</f>
        <v/>
      </c>
      <c r="AJ99">
        <f>IF(AND(Attempts[[#This Row],[is_impostor]]=0,Attempts[[#This Row],[final_result]]="logged in"),1,0)</f>
        <v>0</v>
      </c>
      <c r="AK99">
        <f>IF(AND(Attempts[[#This Row],[is_impostor]]=0,Attempts[[#This Row],[final_result]]="logged in",Attempts[[#This Row],[tries_to_success]]&gt;1),1,0)</f>
        <v>0</v>
      </c>
      <c r="AL99">
        <f>IF(Attempts[[#This Row],[prompt_match]]=0,1,0)</f>
        <v>0</v>
      </c>
    </row>
    <row r="100" spans="1:38">
      <c r="A100">
        <f t="shared" si="7"/>
        <v>99</v>
      </c>
      <c r="B100" t="s">
        <v>35</v>
      </c>
      <c r="C100">
        <v>0</v>
      </c>
      <c r="D100" t="s">
        <v>27</v>
      </c>
      <c r="E100" t="s">
        <v>27</v>
      </c>
      <c r="F100" t="s">
        <v>27</v>
      </c>
      <c r="G100" t="s">
        <v>27</v>
      </c>
      <c r="H100">
        <v>33.479999999999997</v>
      </c>
      <c r="I100">
        <v>12.202999999999999</v>
      </c>
      <c r="J100">
        <f t="shared" si="6"/>
        <v>15.591999999999999</v>
      </c>
      <c r="K100">
        <v>5.6849999999999996</v>
      </c>
      <c r="L100">
        <v>1</v>
      </c>
      <c r="M100">
        <v>0</v>
      </c>
      <c r="N100">
        <v>1</v>
      </c>
      <c r="O100" t="s">
        <v>36</v>
      </c>
      <c r="P100" t="s">
        <v>37</v>
      </c>
      <c r="Q100">
        <v>0.17699999999999999</v>
      </c>
      <c r="R100">
        <v>0.22500000000000001</v>
      </c>
      <c r="S100">
        <v>0.85</v>
      </c>
      <c r="T100">
        <v>1.056</v>
      </c>
      <c r="U100">
        <v>1.603</v>
      </c>
      <c r="V100">
        <v>0.48599999999999999</v>
      </c>
      <c r="AA100">
        <f>IF(Attempts[[#This Row],[keystroke_result]]="logged in",1,0)</f>
        <v>1</v>
      </c>
      <c r="AB100">
        <f>IF(Attempts[[#This Row],[graphical_result]]="logged in",1,0)</f>
        <v>1</v>
      </c>
      <c r="AC100">
        <f>IF(Attempts[[#This Row],[mouse_result]]="logged in",1,0)</f>
        <v>1</v>
      </c>
      <c r="AD100">
        <f>IF(Attempts[[#This Row],[final_result]]="logged in",1,0)</f>
        <v>1</v>
      </c>
      <c r="AE100">
        <f>IF(Attempts[[#This Row],[is_impostor]]=0,1,0)</f>
        <v>1</v>
      </c>
      <c r="AF100">
        <f>IF(Attempts[[#This Row],[is_impostor]]=1,1,0)</f>
        <v>0</v>
      </c>
      <c r="AG100">
        <f>IF(AND(Attempts[[#This Row],[keystroke_pass]]=1,Attempts[[#This Row],[graphical_pass]]=1,Attempts[[#This Row],[mouse_pass]]=1),1,0)</f>
        <v>1</v>
      </c>
      <c r="AH100">
        <f>IF(AND(Attempts[[#This Row],[keystroke_pass]]=1, OR(Attempts[[#This Row],[graphical_pass]]=1, Attempts[[#This Row],[mouse_pass]]=1)), 1, 0)</f>
        <v>1</v>
      </c>
      <c r="AI100">
        <f>IF(Attempts[[#This Row],[final_result]]="logged in",Attempts[[#This Row],[login_attempt_number]],"")</f>
        <v>1</v>
      </c>
      <c r="AJ100">
        <f>IF(AND(Attempts[[#This Row],[is_impostor]]=0,Attempts[[#This Row],[final_result]]="logged in"),1,0)</f>
        <v>1</v>
      </c>
      <c r="AK100">
        <f>IF(AND(Attempts[[#This Row],[is_impostor]]=0,Attempts[[#This Row],[final_result]]="logged in",Attempts[[#This Row],[tries_to_success]]&gt;1),1,0)</f>
        <v>0</v>
      </c>
      <c r="AL100">
        <f>IF(Attempts[[#This Row],[prompt_match]]=0,1,0)</f>
        <v>0</v>
      </c>
    </row>
    <row r="101" spans="1:38">
      <c r="A101">
        <f t="shared" si="7"/>
        <v>100</v>
      </c>
      <c r="B101" t="s">
        <v>35</v>
      </c>
      <c r="C101">
        <v>0</v>
      </c>
      <c r="D101" t="s">
        <v>27</v>
      </c>
      <c r="E101" t="s">
        <v>27</v>
      </c>
      <c r="F101" t="s">
        <v>28</v>
      </c>
      <c r="G101" t="s">
        <v>27</v>
      </c>
      <c r="H101">
        <v>59.774999999999999</v>
      </c>
      <c r="I101">
        <v>20.260999999999999</v>
      </c>
      <c r="J101">
        <f t="shared" si="6"/>
        <v>33.680999999999997</v>
      </c>
      <c r="K101">
        <v>5.8330000000000002</v>
      </c>
      <c r="L101">
        <v>1</v>
      </c>
      <c r="M101">
        <v>0</v>
      </c>
      <c r="N101">
        <v>1</v>
      </c>
      <c r="O101" t="s">
        <v>36</v>
      </c>
      <c r="P101" t="s">
        <v>37</v>
      </c>
      <c r="Q101">
        <v>0.25800000000000001</v>
      </c>
      <c r="R101">
        <v>0.57399999999999995</v>
      </c>
      <c r="S101">
        <v>0.79500000000000004</v>
      </c>
      <c r="T101">
        <v>1.5820000000000001</v>
      </c>
      <c r="U101">
        <v>3.31</v>
      </c>
      <c r="V101">
        <v>0.38700000000000001</v>
      </c>
      <c r="AA101">
        <f>IF(Attempts[[#This Row],[keystroke_result]]="logged in",1,0)</f>
        <v>1</v>
      </c>
      <c r="AB101">
        <f>IF(Attempts[[#This Row],[graphical_result]]="logged in",1,0)</f>
        <v>1</v>
      </c>
      <c r="AC101">
        <f>IF(Attempts[[#This Row],[mouse_result]]="logged in",1,0)</f>
        <v>0</v>
      </c>
      <c r="AD101">
        <f>IF(Attempts[[#This Row],[final_result]]="logged in",1,0)</f>
        <v>1</v>
      </c>
      <c r="AE101">
        <f>IF(Attempts[[#This Row],[is_impostor]]=0,1,0)</f>
        <v>1</v>
      </c>
      <c r="AF101">
        <f>IF(Attempts[[#This Row],[is_impostor]]=1,1,0)</f>
        <v>0</v>
      </c>
      <c r="AG101">
        <f>IF(AND(Attempts[[#This Row],[keystroke_pass]]=1,Attempts[[#This Row],[graphical_pass]]=1,Attempts[[#This Row],[mouse_pass]]=1),1,0)</f>
        <v>0</v>
      </c>
      <c r="AH101">
        <f>IF(AND(Attempts[[#This Row],[keystroke_pass]]=1, OR(Attempts[[#This Row],[graphical_pass]]=1, Attempts[[#This Row],[mouse_pass]]=1)), 1, 0)</f>
        <v>1</v>
      </c>
      <c r="AI101">
        <f>IF(Attempts[[#This Row],[final_result]]="logged in",Attempts[[#This Row],[login_attempt_number]],"")</f>
        <v>1</v>
      </c>
      <c r="AJ101">
        <f>IF(AND(Attempts[[#This Row],[is_impostor]]=0,Attempts[[#This Row],[final_result]]="logged in"),1,0)</f>
        <v>1</v>
      </c>
      <c r="AK101">
        <f>IF(AND(Attempts[[#This Row],[is_impostor]]=0,Attempts[[#This Row],[final_result]]="logged in",Attempts[[#This Row],[tries_to_success]]&gt;1),1,0)</f>
        <v>0</v>
      </c>
      <c r="AL101">
        <f>IF(Attempts[[#This Row],[prompt_match]]=0,1,0)</f>
        <v>0</v>
      </c>
    </row>
    <row r="102" spans="1:38">
      <c r="A102">
        <f t="shared" si="7"/>
        <v>101</v>
      </c>
      <c r="B102" t="s">
        <v>38</v>
      </c>
      <c r="C102">
        <v>0</v>
      </c>
      <c r="D102" t="s">
        <v>27</v>
      </c>
      <c r="E102" t="s">
        <v>27</v>
      </c>
      <c r="F102" t="s">
        <v>28</v>
      </c>
      <c r="G102" t="s">
        <v>27</v>
      </c>
      <c r="H102">
        <v>21.260999999999999</v>
      </c>
      <c r="I102">
        <v>12.278</v>
      </c>
      <c r="J102">
        <f t="shared" si="6"/>
        <v>3.4710000000000001</v>
      </c>
      <c r="K102">
        <v>5.5119999999999996</v>
      </c>
      <c r="L102">
        <v>1</v>
      </c>
      <c r="M102">
        <v>0</v>
      </c>
      <c r="N102">
        <v>1</v>
      </c>
      <c r="O102" t="s">
        <v>29</v>
      </c>
      <c r="P102" t="s">
        <v>30</v>
      </c>
      <c r="Q102">
        <v>0.16</v>
      </c>
      <c r="R102">
        <v>0.21099999999999999</v>
      </c>
      <c r="S102">
        <v>0.86199999999999999</v>
      </c>
      <c r="T102">
        <v>2.7530000000000001</v>
      </c>
      <c r="U102">
        <v>3.7549999999999999</v>
      </c>
      <c r="V102">
        <v>0.26600000000000001</v>
      </c>
      <c r="AA102">
        <f>IF(Attempts[[#This Row],[keystroke_result]]="logged in",1,0)</f>
        <v>1</v>
      </c>
      <c r="AB102">
        <f>IF(Attempts[[#This Row],[graphical_result]]="logged in",1,0)</f>
        <v>1</v>
      </c>
      <c r="AC102">
        <f>IF(Attempts[[#This Row],[mouse_result]]="logged in",1,0)</f>
        <v>0</v>
      </c>
      <c r="AD102">
        <f>IF(Attempts[[#This Row],[final_result]]="logged in",1,0)</f>
        <v>1</v>
      </c>
      <c r="AE102">
        <f>IF(Attempts[[#This Row],[is_impostor]]=0,1,0)</f>
        <v>1</v>
      </c>
      <c r="AF102">
        <f>IF(Attempts[[#This Row],[is_impostor]]=1,1,0)</f>
        <v>0</v>
      </c>
      <c r="AG102">
        <f>IF(AND(Attempts[[#This Row],[keystroke_pass]]=1,Attempts[[#This Row],[graphical_pass]]=1,Attempts[[#This Row],[mouse_pass]]=1),1,0)</f>
        <v>0</v>
      </c>
      <c r="AH102">
        <f>IF(AND(Attempts[[#This Row],[keystroke_pass]]=1, OR(Attempts[[#This Row],[graphical_pass]]=1, Attempts[[#This Row],[mouse_pass]]=1)), 1, 0)</f>
        <v>1</v>
      </c>
      <c r="AI102">
        <f>IF(Attempts[[#This Row],[final_result]]="logged in",Attempts[[#This Row],[login_attempt_number]],"")</f>
        <v>1</v>
      </c>
      <c r="AJ102">
        <f>IF(AND(Attempts[[#This Row],[is_impostor]]=0,Attempts[[#This Row],[final_result]]="logged in"),1,0)</f>
        <v>1</v>
      </c>
      <c r="AK102">
        <f>IF(AND(Attempts[[#This Row],[is_impostor]]=0,Attempts[[#This Row],[final_result]]="logged in",Attempts[[#This Row],[tries_to_success]]&gt;1),1,0)</f>
        <v>0</v>
      </c>
      <c r="AL102">
        <f>IF(Attempts[[#This Row],[prompt_match]]=0,1,0)</f>
        <v>0</v>
      </c>
    </row>
    <row r="103" spans="1:38">
      <c r="A103">
        <f t="shared" si="7"/>
        <v>102</v>
      </c>
      <c r="B103" t="s">
        <v>38</v>
      </c>
      <c r="C103">
        <v>0</v>
      </c>
      <c r="D103" t="s">
        <v>27</v>
      </c>
      <c r="E103" t="s">
        <v>27</v>
      </c>
      <c r="F103" t="s">
        <v>28</v>
      </c>
      <c r="G103" t="s">
        <v>27</v>
      </c>
      <c r="H103">
        <v>22.84</v>
      </c>
      <c r="I103">
        <v>11.157</v>
      </c>
      <c r="J103">
        <f t="shared" si="6"/>
        <v>5.3279999999999994</v>
      </c>
      <c r="K103">
        <v>6.3550000000000004</v>
      </c>
      <c r="L103">
        <v>1</v>
      </c>
      <c r="M103">
        <v>0</v>
      </c>
      <c r="N103">
        <v>1</v>
      </c>
      <c r="O103" t="s">
        <v>29</v>
      </c>
      <c r="P103" t="s">
        <v>30</v>
      </c>
      <c r="Q103">
        <v>0.24199999999999999</v>
      </c>
      <c r="R103">
        <v>0.40200000000000002</v>
      </c>
      <c r="S103">
        <v>0.80500000000000005</v>
      </c>
      <c r="T103">
        <v>1.996</v>
      </c>
      <c r="U103">
        <v>3.0150000000000001</v>
      </c>
      <c r="V103">
        <v>0.33400000000000002</v>
      </c>
      <c r="AA103">
        <f>IF(Attempts[[#This Row],[keystroke_result]]="logged in",1,0)</f>
        <v>1</v>
      </c>
      <c r="AB103">
        <f>IF(Attempts[[#This Row],[graphical_result]]="logged in",1,0)</f>
        <v>1</v>
      </c>
      <c r="AC103">
        <f>IF(Attempts[[#This Row],[mouse_result]]="logged in",1,0)</f>
        <v>0</v>
      </c>
      <c r="AD103">
        <f>IF(Attempts[[#This Row],[final_result]]="logged in",1,0)</f>
        <v>1</v>
      </c>
      <c r="AE103">
        <f>IF(Attempts[[#This Row],[is_impostor]]=0,1,0)</f>
        <v>1</v>
      </c>
      <c r="AF103">
        <f>IF(Attempts[[#This Row],[is_impostor]]=1,1,0)</f>
        <v>0</v>
      </c>
      <c r="AG103">
        <f>IF(AND(Attempts[[#This Row],[keystroke_pass]]=1,Attempts[[#This Row],[graphical_pass]]=1,Attempts[[#This Row],[mouse_pass]]=1),1,0)</f>
        <v>0</v>
      </c>
      <c r="AH103">
        <f>IF(AND(Attempts[[#This Row],[keystroke_pass]]=1, OR(Attempts[[#This Row],[graphical_pass]]=1, Attempts[[#This Row],[mouse_pass]]=1)), 1, 0)</f>
        <v>1</v>
      </c>
      <c r="AI103">
        <f>IF(Attempts[[#This Row],[final_result]]="logged in",Attempts[[#This Row],[login_attempt_number]],"")</f>
        <v>1</v>
      </c>
      <c r="AJ103">
        <f>IF(AND(Attempts[[#This Row],[is_impostor]]=0,Attempts[[#This Row],[final_result]]="logged in"),1,0)</f>
        <v>1</v>
      </c>
      <c r="AK103">
        <f>IF(AND(Attempts[[#This Row],[is_impostor]]=0,Attempts[[#This Row],[final_result]]="logged in",Attempts[[#This Row],[tries_to_success]]&gt;1),1,0)</f>
        <v>0</v>
      </c>
      <c r="AL103">
        <f>IF(Attempts[[#This Row],[prompt_match]]=0,1,0)</f>
        <v>0</v>
      </c>
    </row>
    <row r="104" spans="1:38">
      <c r="A104">
        <f t="shared" si="7"/>
        <v>103</v>
      </c>
      <c r="B104" t="s">
        <v>38</v>
      </c>
      <c r="C104">
        <v>0</v>
      </c>
      <c r="D104" t="s">
        <v>27</v>
      </c>
      <c r="E104" t="s">
        <v>27</v>
      </c>
      <c r="F104" t="s">
        <v>27</v>
      </c>
      <c r="G104" t="s">
        <v>27</v>
      </c>
      <c r="H104">
        <v>25.611000000000001</v>
      </c>
      <c r="I104">
        <v>9.9239999999999995</v>
      </c>
      <c r="J104">
        <f t="shared" si="6"/>
        <v>4.6720000000000006</v>
      </c>
      <c r="K104">
        <v>11.015000000000001</v>
      </c>
      <c r="L104">
        <v>1</v>
      </c>
      <c r="M104">
        <v>0</v>
      </c>
      <c r="N104">
        <v>1</v>
      </c>
      <c r="O104" t="s">
        <v>29</v>
      </c>
      <c r="P104" t="s">
        <v>30</v>
      </c>
      <c r="Q104">
        <v>0.35299999999999998</v>
      </c>
      <c r="R104">
        <v>0.48299999999999998</v>
      </c>
      <c r="S104">
        <v>0.73899999999999999</v>
      </c>
      <c r="T104">
        <v>0.38600000000000001</v>
      </c>
      <c r="U104">
        <v>0.71799999999999997</v>
      </c>
      <c r="V104">
        <v>0.72199999999999998</v>
      </c>
      <c r="AA104">
        <f>IF(Attempts[[#This Row],[keystroke_result]]="logged in",1,0)</f>
        <v>1</v>
      </c>
      <c r="AB104">
        <f>IF(Attempts[[#This Row],[graphical_result]]="logged in",1,0)</f>
        <v>1</v>
      </c>
      <c r="AC104">
        <f>IF(Attempts[[#This Row],[mouse_result]]="logged in",1,0)</f>
        <v>1</v>
      </c>
      <c r="AD104">
        <f>IF(Attempts[[#This Row],[final_result]]="logged in",1,0)</f>
        <v>1</v>
      </c>
      <c r="AE104">
        <f>IF(Attempts[[#This Row],[is_impostor]]=0,1,0)</f>
        <v>1</v>
      </c>
      <c r="AF104">
        <f>IF(Attempts[[#This Row],[is_impostor]]=1,1,0)</f>
        <v>0</v>
      </c>
      <c r="AG104">
        <f>IF(AND(Attempts[[#This Row],[keystroke_pass]]=1,Attempts[[#This Row],[graphical_pass]]=1,Attempts[[#This Row],[mouse_pass]]=1),1,0)</f>
        <v>1</v>
      </c>
      <c r="AH104">
        <f>IF(AND(Attempts[[#This Row],[keystroke_pass]]=1, OR(Attempts[[#This Row],[graphical_pass]]=1, Attempts[[#This Row],[mouse_pass]]=1)), 1, 0)</f>
        <v>1</v>
      </c>
      <c r="AI104">
        <f>IF(Attempts[[#This Row],[final_result]]="logged in",Attempts[[#This Row],[login_attempt_number]],"")</f>
        <v>1</v>
      </c>
      <c r="AJ104">
        <f>IF(AND(Attempts[[#This Row],[is_impostor]]=0,Attempts[[#This Row],[final_result]]="logged in"),1,0)</f>
        <v>1</v>
      </c>
      <c r="AK104">
        <f>IF(AND(Attempts[[#This Row],[is_impostor]]=0,Attempts[[#This Row],[final_result]]="logged in",Attempts[[#This Row],[tries_to_success]]&gt;1),1,0)</f>
        <v>0</v>
      </c>
      <c r="AL104">
        <f>IF(Attempts[[#This Row],[prompt_match]]=0,1,0)</f>
        <v>0</v>
      </c>
    </row>
    <row r="105" spans="1:38">
      <c r="A105">
        <f t="shared" si="7"/>
        <v>104</v>
      </c>
      <c r="B105" t="s">
        <v>38</v>
      </c>
      <c r="C105">
        <v>0</v>
      </c>
      <c r="D105" t="s">
        <v>27</v>
      </c>
      <c r="E105" t="s">
        <v>27</v>
      </c>
      <c r="F105" t="s">
        <v>28</v>
      </c>
      <c r="G105" t="s">
        <v>27</v>
      </c>
      <c r="H105">
        <v>29.550999999999998</v>
      </c>
      <c r="I105">
        <v>13.161</v>
      </c>
      <c r="J105">
        <f t="shared" si="6"/>
        <v>6.02</v>
      </c>
      <c r="K105">
        <v>10.37</v>
      </c>
      <c r="L105">
        <v>1</v>
      </c>
      <c r="M105">
        <v>0</v>
      </c>
      <c r="N105">
        <v>1</v>
      </c>
      <c r="O105" t="s">
        <v>29</v>
      </c>
      <c r="P105" t="s">
        <v>30</v>
      </c>
      <c r="Q105">
        <v>0.14799999999999999</v>
      </c>
      <c r="R105">
        <v>0.26300000000000001</v>
      </c>
      <c r="S105">
        <v>0.871</v>
      </c>
      <c r="T105">
        <v>1.256</v>
      </c>
      <c r="U105">
        <v>1.7450000000000001</v>
      </c>
      <c r="V105">
        <v>0.443</v>
      </c>
      <c r="AA105">
        <f>IF(Attempts[[#This Row],[keystroke_result]]="logged in",1,0)</f>
        <v>1</v>
      </c>
      <c r="AB105">
        <f>IF(Attempts[[#This Row],[graphical_result]]="logged in",1,0)</f>
        <v>1</v>
      </c>
      <c r="AC105">
        <f>IF(Attempts[[#This Row],[mouse_result]]="logged in",1,0)</f>
        <v>0</v>
      </c>
      <c r="AD105">
        <f>IF(Attempts[[#This Row],[final_result]]="logged in",1,0)</f>
        <v>1</v>
      </c>
      <c r="AE105">
        <f>IF(Attempts[[#This Row],[is_impostor]]=0,1,0)</f>
        <v>1</v>
      </c>
      <c r="AF105">
        <f>IF(Attempts[[#This Row],[is_impostor]]=1,1,0)</f>
        <v>0</v>
      </c>
      <c r="AG105">
        <f>IF(AND(Attempts[[#This Row],[keystroke_pass]]=1,Attempts[[#This Row],[graphical_pass]]=1,Attempts[[#This Row],[mouse_pass]]=1),1,0)</f>
        <v>0</v>
      </c>
      <c r="AH105">
        <f>IF(AND(Attempts[[#This Row],[keystroke_pass]]=1, OR(Attempts[[#This Row],[graphical_pass]]=1, Attempts[[#This Row],[mouse_pass]]=1)), 1, 0)</f>
        <v>1</v>
      </c>
      <c r="AI105">
        <f>IF(Attempts[[#This Row],[final_result]]="logged in",Attempts[[#This Row],[login_attempt_number]],"")</f>
        <v>1</v>
      </c>
      <c r="AJ105">
        <f>IF(AND(Attempts[[#This Row],[is_impostor]]=0,Attempts[[#This Row],[final_result]]="logged in"),1,0)</f>
        <v>1</v>
      </c>
      <c r="AK105">
        <f>IF(AND(Attempts[[#This Row],[is_impostor]]=0,Attempts[[#This Row],[final_result]]="logged in",Attempts[[#This Row],[tries_to_success]]&gt;1),1,0)</f>
        <v>0</v>
      </c>
      <c r="AL105">
        <f>IF(Attempts[[#This Row],[prompt_match]]=0,1,0)</f>
        <v>0</v>
      </c>
    </row>
    <row r="106" spans="1:38">
      <c r="A106">
        <f t="shared" si="7"/>
        <v>105</v>
      </c>
      <c r="B106" t="s">
        <v>38</v>
      </c>
      <c r="C106">
        <v>0</v>
      </c>
      <c r="D106" t="s">
        <v>27</v>
      </c>
      <c r="E106" t="s">
        <v>27</v>
      </c>
      <c r="F106" t="s">
        <v>27</v>
      </c>
      <c r="G106" t="s">
        <v>27</v>
      </c>
      <c r="H106">
        <v>26.888000000000002</v>
      </c>
      <c r="I106">
        <v>11.339</v>
      </c>
      <c r="J106">
        <f t="shared" si="6"/>
        <v>5.8069999999999986</v>
      </c>
      <c r="K106">
        <v>9.7420000000000009</v>
      </c>
      <c r="L106">
        <v>1</v>
      </c>
      <c r="M106">
        <v>0</v>
      </c>
      <c r="N106">
        <v>1</v>
      </c>
      <c r="O106" t="s">
        <v>29</v>
      </c>
      <c r="P106" t="s">
        <v>30</v>
      </c>
      <c r="Q106">
        <v>0.111</v>
      </c>
      <c r="R106">
        <v>0.41199999999999998</v>
      </c>
      <c r="S106">
        <v>0.9</v>
      </c>
      <c r="T106">
        <v>0.76200000000000001</v>
      </c>
      <c r="U106">
        <v>1.329</v>
      </c>
      <c r="V106">
        <v>0.56799999999999995</v>
      </c>
      <c r="AA106">
        <f>IF(Attempts[[#This Row],[keystroke_result]]="logged in",1,0)</f>
        <v>1</v>
      </c>
      <c r="AB106">
        <f>IF(Attempts[[#This Row],[graphical_result]]="logged in",1,0)</f>
        <v>1</v>
      </c>
      <c r="AC106">
        <f>IF(Attempts[[#This Row],[mouse_result]]="logged in",1,0)</f>
        <v>1</v>
      </c>
      <c r="AD106">
        <f>IF(Attempts[[#This Row],[final_result]]="logged in",1,0)</f>
        <v>1</v>
      </c>
      <c r="AE106">
        <f>IF(Attempts[[#This Row],[is_impostor]]=0,1,0)</f>
        <v>1</v>
      </c>
      <c r="AF106">
        <f>IF(Attempts[[#This Row],[is_impostor]]=1,1,0)</f>
        <v>0</v>
      </c>
      <c r="AG106">
        <f>IF(AND(Attempts[[#This Row],[keystroke_pass]]=1,Attempts[[#This Row],[graphical_pass]]=1,Attempts[[#This Row],[mouse_pass]]=1),1,0)</f>
        <v>1</v>
      </c>
      <c r="AH106">
        <f>IF(AND(Attempts[[#This Row],[keystroke_pass]]=1, OR(Attempts[[#This Row],[graphical_pass]]=1, Attempts[[#This Row],[mouse_pass]]=1)), 1, 0)</f>
        <v>1</v>
      </c>
      <c r="AI106">
        <f>IF(Attempts[[#This Row],[final_result]]="logged in",Attempts[[#This Row],[login_attempt_number]],"")</f>
        <v>1</v>
      </c>
      <c r="AJ106">
        <f>IF(AND(Attempts[[#This Row],[is_impostor]]=0,Attempts[[#This Row],[final_result]]="logged in"),1,0)</f>
        <v>1</v>
      </c>
      <c r="AK106">
        <f>IF(AND(Attempts[[#This Row],[is_impostor]]=0,Attempts[[#This Row],[final_result]]="logged in",Attempts[[#This Row],[tries_to_success]]&gt;1),1,0)</f>
        <v>0</v>
      </c>
      <c r="AL106">
        <f>IF(Attempts[[#This Row],[prompt_match]]=0,1,0)</f>
        <v>0</v>
      </c>
    </row>
    <row r="107" spans="1:38">
      <c r="A107">
        <f t="shared" si="7"/>
        <v>106</v>
      </c>
      <c r="B107" t="s">
        <v>38</v>
      </c>
      <c r="C107">
        <v>0</v>
      </c>
      <c r="D107" t="s">
        <v>27</v>
      </c>
      <c r="E107" t="s">
        <v>27</v>
      </c>
      <c r="F107" t="s">
        <v>27</v>
      </c>
      <c r="G107" t="s">
        <v>27</v>
      </c>
      <c r="H107">
        <v>34.49</v>
      </c>
      <c r="I107">
        <v>17.613</v>
      </c>
      <c r="J107">
        <f t="shared" si="6"/>
        <v>6.708000000000002</v>
      </c>
      <c r="K107">
        <v>10.169</v>
      </c>
      <c r="L107">
        <v>1</v>
      </c>
      <c r="M107">
        <v>0</v>
      </c>
      <c r="N107">
        <v>1</v>
      </c>
      <c r="O107" t="s">
        <v>29</v>
      </c>
      <c r="P107" t="s">
        <v>30</v>
      </c>
      <c r="Q107">
        <v>7.9000000000000001E-2</v>
      </c>
      <c r="R107">
        <v>0.21199999999999999</v>
      </c>
      <c r="S107">
        <v>0.92700000000000005</v>
      </c>
      <c r="T107">
        <v>0.64900000000000002</v>
      </c>
      <c r="U107">
        <v>0.86399999999999999</v>
      </c>
      <c r="V107">
        <v>0.60599999999999998</v>
      </c>
      <c r="AA107">
        <f>IF(Attempts[[#This Row],[keystroke_result]]="logged in",1,0)</f>
        <v>1</v>
      </c>
      <c r="AB107">
        <f>IF(Attempts[[#This Row],[graphical_result]]="logged in",1,0)</f>
        <v>1</v>
      </c>
      <c r="AC107">
        <f>IF(Attempts[[#This Row],[mouse_result]]="logged in",1,0)</f>
        <v>1</v>
      </c>
      <c r="AD107">
        <f>IF(Attempts[[#This Row],[final_result]]="logged in",1,0)</f>
        <v>1</v>
      </c>
      <c r="AE107">
        <f>IF(Attempts[[#This Row],[is_impostor]]=0,1,0)</f>
        <v>1</v>
      </c>
      <c r="AF107">
        <f>IF(Attempts[[#This Row],[is_impostor]]=1,1,0)</f>
        <v>0</v>
      </c>
      <c r="AG107">
        <f>IF(AND(Attempts[[#This Row],[keystroke_pass]]=1,Attempts[[#This Row],[graphical_pass]]=1,Attempts[[#This Row],[mouse_pass]]=1),1,0)</f>
        <v>1</v>
      </c>
      <c r="AH107">
        <f>IF(AND(Attempts[[#This Row],[keystroke_pass]]=1, OR(Attempts[[#This Row],[graphical_pass]]=1, Attempts[[#This Row],[mouse_pass]]=1)), 1, 0)</f>
        <v>1</v>
      </c>
      <c r="AI107">
        <f>IF(Attempts[[#This Row],[final_result]]="logged in",Attempts[[#This Row],[login_attempt_number]],"")</f>
        <v>1</v>
      </c>
      <c r="AJ107">
        <f>IF(AND(Attempts[[#This Row],[is_impostor]]=0,Attempts[[#This Row],[final_result]]="logged in"),1,0)</f>
        <v>1</v>
      </c>
      <c r="AK107">
        <f>IF(AND(Attempts[[#This Row],[is_impostor]]=0,Attempts[[#This Row],[final_result]]="logged in",Attempts[[#This Row],[tries_to_success]]&gt;1),1,0)</f>
        <v>0</v>
      </c>
      <c r="AL107">
        <f>IF(Attempts[[#This Row],[prompt_match]]=0,1,0)</f>
        <v>0</v>
      </c>
    </row>
    <row r="108" spans="1:38">
      <c r="A108">
        <f t="shared" si="7"/>
        <v>107</v>
      </c>
      <c r="B108" t="s">
        <v>38</v>
      </c>
      <c r="C108">
        <v>0</v>
      </c>
      <c r="D108" t="s">
        <v>27</v>
      </c>
      <c r="E108" t="s">
        <v>27</v>
      </c>
      <c r="F108" t="s">
        <v>27</v>
      </c>
      <c r="G108" t="s">
        <v>27</v>
      </c>
      <c r="H108">
        <v>30.981999999999999</v>
      </c>
      <c r="I108">
        <v>13.917999999999999</v>
      </c>
      <c r="J108">
        <f t="shared" si="6"/>
        <v>7.1240000000000023</v>
      </c>
      <c r="K108">
        <v>9.94</v>
      </c>
      <c r="L108">
        <v>3</v>
      </c>
      <c r="M108">
        <v>0</v>
      </c>
      <c r="N108">
        <v>1</v>
      </c>
      <c r="O108" t="s">
        <v>29</v>
      </c>
      <c r="P108" t="s">
        <v>30</v>
      </c>
      <c r="Q108">
        <v>6.6000000000000003E-2</v>
      </c>
      <c r="R108">
        <v>0.23100000000000001</v>
      </c>
      <c r="S108">
        <v>0.93799999999999994</v>
      </c>
      <c r="T108">
        <v>0.371</v>
      </c>
      <c r="U108">
        <v>0.68500000000000005</v>
      </c>
      <c r="V108">
        <v>0.72899999999999998</v>
      </c>
      <c r="AA108">
        <f>IF(Attempts[[#This Row],[keystroke_result]]="logged in",1,0)</f>
        <v>1</v>
      </c>
      <c r="AB108">
        <f>IF(Attempts[[#This Row],[graphical_result]]="logged in",1,0)</f>
        <v>1</v>
      </c>
      <c r="AC108">
        <f>IF(Attempts[[#This Row],[mouse_result]]="logged in",1,0)</f>
        <v>1</v>
      </c>
      <c r="AD108">
        <f>IF(Attempts[[#This Row],[final_result]]="logged in",1,0)</f>
        <v>1</v>
      </c>
      <c r="AE108">
        <f>IF(Attempts[[#This Row],[is_impostor]]=0,1,0)</f>
        <v>1</v>
      </c>
      <c r="AF108">
        <f>IF(Attempts[[#This Row],[is_impostor]]=1,1,0)</f>
        <v>0</v>
      </c>
      <c r="AG108">
        <f>IF(AND(Attempts[[#This Row],[keystroke_pass]]=1,Attempts[[#This Row],[graphical_pass]]=1,Attempts[[#This Row],[mouse_pass]]=1),1,0)</f>
        <v>1</v>
      </c>
      <c r="AH108">
        <f>IF(AND(Attempts[[#This Row],[keystroke_pass]]=1, OR(Attempts[[#This Row],[graphical_pass]]=1, Attempts[[#This Row],[mouse_pass]]=1)), 1, 0)</f>
        <v>1</v>
      </c>
      <c r="AI108">
        <f>IF(Attempts[[#This Row],[final_result]]="logged in",Attempts[[#This Row],[login_attempt_number]],"")</f>
        <v>3</v>
      </c>
      <c r="AJ108">
        <f>IF(AND(Attempts[[#This Row],[is_impostor]]=0,Attempts[[#This Row],[final_result]]="logged in"),1,0)</f>
        <v>1</v>
      </c>
      <c r="AK108">
        <f>IF(AND(Attempts[[#This Row],[is_impostor]]=0,Attempts[[#This Row],[final_result]]="logged in",Attempts[[#This Row],[tries_to_success]]&gt;1),1,0)</f>
        <v>1</v>
      </c>
      <c r="AL108">
        <f>IF(Attempts[[#This Row],[prompt_match]]=0,1,0)</f>
        <v>0</v>
      </c>
    </row>
    <row r="109" spans="1:38">
      <c r="A109">
        <f t="shared" si="7"/>
        <v>108</v>
      </c>
      <c r="B109" t="s">
        <v>38</v>
      </c>
      <c r="C109">
        <v>0</v>
      </c>
      <c r="D109" t="s">
        <v>28</v>
      </c>
      <c r="E109" t="s">
        <v>27</v>
      </c>
      <c r="F109" t="s">
        <v>27</v>
      </c>
      <c r="G109" t="s">
        <v>28</v>
      </c>
      <c r="H109">
        <v>33.090000000000003</v>
      </c>
      <c r="I109">
        <v>11.925000000000001</v>
      </c>
      <c r="J109">
        <f t="shared" si="6"/>
        <v>10.429000000000002</v>
      </c>
      <c r="K109">
        <v>10.736000000000001</v>
      </c>
      <c r="L109">
        <v>2</v>
      </c>
      <c r="M109">
        <v>0</v>
      </c>
      <c r="N109">
        <v>1</v>
      </c>
      <c r="O109" t="s">
        <v>29</v>
      </c>
      <c r="P109" t="s">
        <v>30</v>
      </c>
      <c r="Q109">
        <v>0.29599999999999999</v>
      </c>
      <c r="R109">
        <v>0.72299999999999998</v>
      </c>
      <c r="S109">
        <v>0.77200000000000002</v>
      </c>
      <c r="T109">
        <v>0.66600000000000004</v>
      </c>
      <c r="U109">
        <v>1.264</v>
      </c>
      <c r="V109">
        <v>0.6</v>
      </c>
      <c r="AA109">
        <f>IF(Attempts[[#This Row],[keystroke_result]]="logged in",1,0)</f>
        <v>0</v>
      </c>
      <c r="AB109">
        <f>IF(Attempts[[#This Row],[graphical_result]]="logged in",1,0)</f>
        <v>1</v>
      </c>
      <c r="AC109">
        <f>IF(Attempts[[#This Row],[mouse_result]]="logged in",1,0)</f>
        <v>1</v>
      </c>
      <c r="AD109">
        <f>IF(Attempts[[#This Row],[final_result]]="logged in",1,0)</f>
        <v>0</v>
      </c>
      <c r="AE109">
        <f>IF(Attempts[[#This Row],[is_impostor]]=0,1,0)</f>
        <v>1</v>
      </c>
      <c r="AF109">
        <f>IF(Attempts[[#This Row],[is_impostor]]=1,1,0)</f>
        <v>0</v>
      </c>
      <c r="AG109">
        <f>IF(AND(Attempts[[#This Row],[keystroke_pass]]=1,Attempts[[#This Row],[graphical_pass]]=1,Attempts[[#This Row],[mouse_pass]]=1),1,0)</f>
        <v>0</v>
      </c>
      <c r="AH109">
        <f>IF(AND(Attempts[[#This Row],[keystroke_pass]]=1, OR(Attempts[[#This Row],[graphical_pass]]=1, Attempts[[#This Row],[mouse_pass]]=1)), 1, 0)</f>
        <v>0</v>
      </c>
      <c r="AI109" t="str">
        <f>IF(Attempts[[#This Row],[final_result]]="logged in",Attempts[[#This Row],[login_attempt_number]],"")</f>
        <v/>
      </c>
      <c r="AJ109">
        <f>IF(AND(Attempts[[#This Row],[is_impostor]]=0,Attempts[[#This Row],[final_result]]="logged in"),1,0)</f>
        <v>0</v>
      </c>
      <c r="AK109">
        <f>IF(AND(Attempts[[#This Row],[is_impostor]]=0,Attempts[[#This Row],[final_result]]="logged in",Attempts[[#This Row],[tries_to_success]]&gt;1),1,0)</f>
        <v>0</v>
      </c>
      <c r="AL109">
        <f>IF(Attempts[[#This Row],[prompt_match]]=0,1,0)</f>
        <v>0</v>
      </c>
    </row>
    <row r="110" spans="1:38">
      <c r="A110">
        <f t="shared" si="7"/>
        <v>109</v>
      </c>
      <c r="B110" t="s">
        <v>38</v>
      </c>
      <c r="C110">
        <v>0</v>
      </c>
      <c r="D110" t="s">
        <v>28</v>
      </c>
      <c r="E110" t="s">
        <v>27</v>
      </c>
      <c r="F110" t="s">
        <v>27</v>
      </c>
      <c r="G110" t="s">
        <v>28</v>
      </c>
      <c r="H110">
        <v>33.090000000000003</v>
      </c>
      <c r="I110">
        <v>11.925000000000001</v>
      </c>
      <c r="J110">
        <f t="shared" si="6"/>
        <v>10.429000000000002</v>
      </c>
      <c r="K110">
        <v>10.736000000000001</v>
      </c>
      <c r="L110">
        <v>1</v>
      </c>
      <c r="M110">
        <v>0</v>
      </c>
      <c r="N110">
        <v>1</v>
      </c>
      <c r="O110" t="s">
        <v>29</v>
      </c>
      <c r="P110" t="s">
        <v>30</v>
      </c>
      <c r="Q110">
        <v>0.29599999999999999</v>
      </c>
      <c r="R110">
        <v>0.72299999999999998</v>
      </c>
      <c r="S110">
        <v>0.77200000000000002</v>
      </c>
      <c r="T110">
        <v>0.66600000000000004</v>
      </c>
      <c r="U110">
        <v>1.264</v>
      </c>
      <c r="V110">
        <v>0.6</v>
      </c>
      <c r="AA110">
        <f>IF(Attempts[[#This Row],[keystroke_result]]="logged in",1,0)</f>
        <v>0</v>
      </c>
      <c r="AB110">
        <f>IF(Attempts[[#This Row],[graphical_result]]="logged in",1,0)</f>
        <v>1</v>
      </c>
      <c r="AC110">
        <f>IF(Attempts[[#This Row],[mouse_result]]="logged in",1,0)</f>
        <v>1</v>
      </c>
      <c r="AD110">
        <f>IF(Attempts[[#This Row],[final_result]]="logged in",1,0)</f>
        <v>0</v>
      </c>
      <c r="AE110">
        <f>IF(Attempts[[#This Row],[is_impostor]]=0,1,0)</f>
        <v>1</v>
      </c>
      <c r="AF110">
        <f>IF(Attempts[[#This Row],[is_impostor]]=1,1,0)</f>
        <v>0</v>
      </c>
      <c r="AG110">
        <f>IF(AND(Attempts[[#This Row],[keystroke_pass]]=1,Attempts[[#This Row],[graphical_pass]]=1,Attempts[[#This Row],[mouse_pass]]=1),1,0)</f>
        <v>0</v>
      </c>
      <c r="AH110">
        <f>IF(AND(Attempts[[#This Row],[keystroke_pass]]=1, OR(Attempts[[#This Row],[graphical_pass]]=1, Attempts[[#This Row],[mouse_pass]]=1)), 1, 0)</f>
        <v>0</v>
      </c>
      <c r="AI110" t="str">
        <f>IF(Attempts[[#This Row],[final_result]]="logged in",Attempts[[#This Row],[login_attempt_number]],"")</f>
        <v/>
      </c>
      <c r="AJ110">
        <f>IF(AND(Attempts[[#This Row],[is_impostor]]=0,Attempts[[#This Row],[final_result]]="logged in"),1,0)</f>
        <v>0</v>
      </c>
      <c r="AK110">
        <f>IF(AND(Attempts[[#This Row],[is_impostor]]=0,Attempts[[#This Row],[final_result]]="logged in",Attempts[[#This Row],[tries_to_success]]&gt;1),1,0)</f>
        <v>0</v>
      </c>
      <c r="AL110">
        <f>IF(Attempts[[#This Row],[prompt_match]]=0,1,0)</f>
        <v>0</v>
      </c>
    </row>
    <row r="111" spans="1:38">
      <c r="A111">
        <f t="shared" si="7"/>
        <v>110</v>
      </c>
      <c r="B111" t="s">
        <v>38</v>
      </c>
      <c r="C111">
        <v>0</v>
      </c>
      <c r="D111" t="s">
        <v>27</v>
      </c>
      <c r="E111" t="s">
        <v>27</v>
      </c>
      <c r="F111" t="s">
        <v>27</v>
      </c>
      <c r="G111" t="s">
        <v>27</v>
      </c>
      <c r="H111">
        <v>39.671999999999997</v>
      </c>
      <c r="I111">
        <v>12.233000000000001</v>
      </c>
      <c r="J111">
        <f t="shared" si="6"/>
        <v>16.930999999999997</v>
      </c>
      <c r="K111">
        <v>10.507999999999999</v>
      </c>
      <c r="L111">
        <v>1</v>
      </c>
      <c r="M111">
        <v>0</v>
      </c>
      <c r="N111">
        <v>1</v>
      </c>
      <c r="O111" t="s">
        <v>29</v>
      </c>
      <c r="P111" t="s">
        <v>30</v>
      </c>
      <c r="Q111">
        <v>0.25600000000000001</v>
      </c>
      <c r="R111">
        <v>0.37</v>
      </c>
      <c r="S111">
        <v>0.79600000000000004</v>
      </c>
      <c r="T111">
        <v>0.52300000000000002</v>
      </c>
      <c r="U111">
        <v>1.1040000000000001</v>
      </c>
      <c r="V111">
        <v>0.65700000000000003</v>
      </c>
      <c r="AA111">
        <f>IF(Attempts[[#This Row],[keystroke_result]]="logged in",1,0)</f>
        <v>1</v>
      </c>
      <c r="AB111">
        <f>IF(Attempts[[#This Row],[graphical_result]]="logged in",1,0)</f>
        <v>1</v>
      </c>
      <c r="AC111">
        <f>IF(Attempts[[#This Row],[mouse_result]]="logged in",1,0)</f>
        <v>1</v>
      </c>
      <c r="AD111">
        <f>IF(Attempts[[#This Row],[final_result]]="logged in",1,0)</f>
        <v>1</v>
      </c>
      <c r="AE111">
        <f>IF(Attempts[[#This Row],[is_impostor]]=0,1,0)</f>
        <v>1</v>
      </c>
      <c r="AF111">
        <f>IF(Attempts[[#This Row],[is_impostor]]=1,1,0)</f>
        <v>0</v>
      </c>
      <c r="AG111">
        <f>IF(AND(Attempts[[#This Row],[keystroke_pass]]=1,Attempts[[#This Row],[graphical_pass]]=1,Attempts[[#This Row],[mouse_pass]]=1),1,0)</f>
        <v>1</v>
      </c>
      <c r="AH111">
        <f>IF(AND(Attempts[[#This Row],[keystroke_pass]]=1, OR(Attempts[[#This Row],[graphical_pass]]=1, Attempts[[#This Row],[mouse_pass]]=1)), 1, 0)</f>
        <v>1</v>
      </c>
      <c r="AI111">
        <f>IF(Attempts[[#This Row],[final_result]]="logged in",Attempts[[#This Row],[login_attempt_number]],"")</f>
        <v>1</v>
      </c>
      <c r="AJ111">
        <f>IF(AND(Attempts[[#This Row],[is_impostor]]=0,Attempts[[#This Row],[final_result]]="logged in"),1,0)</f>
        <v>1</v>
      </c>
      <c r="AK111">
        <f>IF(AND(Attempts[[#This Row],[is_impostor]]=0,Attempts[[#This Row],[final_result]]="logged in",Attempts[[#This Row],[tries_to_success]]&gt;1),1,0)</f>
        <v>0</v>
      </c>
      <c r="AL111">
        <f>IF(Attempts[[#This Row],[prompt_match]]=0,1,0)</f>
        <v>0</v>
      </c>
    </row>
    <row r="112" spans="1:38">
      <c r="A112">
        <f t="shared" si="7"/>
        <v>111</v>
      </c>
      <c r="B112" t="s">
        <v>39</v>
      </c>
      <c r="C112">
        <v>0</v>
      </c>
      <c r="D112" t="s">
        <v>27</v>
      </c>
      <c r="E112" t="s">
        <v>27</v>
      </c>
      <c r="F112" t="s">
        <v>27</v>
      </c>
      <c r="G112" t="s">
        <v>27</v>
      </c>
      <c r="H112">
        <v>20.03</v>
      </c>
      <c r="I112">
        <v>6.9160000000000004</v>
      </c>
      <c r="J112">
        <f t="shared" si="6"/>
        <v>8.5330000000000013</v>
      </c>
      <c r="K112">
        <v>4.5810000000000004</v>
      </c>
      <c r="L112">
        <v>1</v>
      </c>
      <c r="M112">
        <v>0</v>
      </c>
      <c r="N112">
        <v>1</v>
      </c>
      <c r="O112" t="s">
        <v>40</v>
      </c>
      <c r="P112" t="s">
        <v>31</v>
      </c>
      <c r="Q112">
        <v>8.5000000000000006E-2</v>
      </c>
      <c r="R112">
        <v>0.379</v>
      </c>
      <c r="S112">
        <v>0.83799999999999997</v>
      </c>
      <c r="T112">
        <v>0.86699999999999999</v>
      </c>
      <c r="U112">
        <v>1.61</v>
      </c>
      <c r="V112">
        <v>0.53600000000000003</v>
      </c>
      <c r="AA112">
        <f>IF(Attempts[[#This Row],[keystroke_result]]="logged in",1,0)</f>
        <v>1</v>
      </c>
      <c r="AB112">
        <f>IF(Attempts[[#This Row],[graphical_result]]="logged in",1,0)</f>
        <v>1</v>
      </c>
      <c r="AC112">
        <f>IF(Attempts[[#This Row],[mouse_result]]="logged in",1,0)</f>
        <v>1</v>
      </c>
      <c r="AD112">
        <f>IF(Attempts[[#This Row],[final_result]]="logged in",1,0)</f>
        <v>1</v>
      </c>
      <c r="AE112">
        <f>IF(Attempts[[#This Row],[is_impostor]]=0,1,0)</f>
        <v>1</v>
      </c>
      <c r="AF112">
        <f>IF(Attempts[[#This Row],[is_impostor]]=1,1,0)</f>
        <v>0</v>
      </c>
      <c r="AG112">
        <f>IF(AND(Attempts[[#This Row],[keystroke_pass]]=1,Attempts[[#This Row],[graphical_pass]]=1,Attempts[[#This Row],[mouse_pass]]=1),1,0)</f>
        <v>1</v>
      </c>
      <c r="AH112">
        <f>IF(AND(Attempts[[#This Row],[keystroke_pass]]=1, OR(Attempts[[#This Row],[graphical_pass]]=1, Attempts[[#This Row],[mouse_pass]]=1)), 1, 0)</f>
        <v>1</v>
      </c>
      <c r="AI112">
        <f>IF(Attempts[[#This Row],[final_result]]="logged in",Attempts[[#This Row],[login_attempt_number]],"")</f>
        <v>1</v>
      </c>
      <c r="AJ112">
        <f>IF(AND(Attempts[[#This Row],[is_impostor]]=0,Attempts[[#This Row],[final_result]]="logged in"),1,0)</f>
        <v>1</v>
      </c>
      <c r="AK112">
        <f>IF(AND(Attempts[[#This Row],[is_impostor]]=0,Attempts[[#This Row],[final_result]]="logged in",Attempts[[#This Row],[tries_to_success]]&gt;1),1,0)</f>
        <v>0</v>
      </c>
      <c r="AL112">
        <f>IF(Attempts[[#This Row],[prompt_match]]=0,1,0)</f>
        <v>0</v>
      </c>
    </row>
    <row r="113" spans="1:38">
      <c r="A113">
        <f t="shared" si="7"/>
        <v>112</v>
      </c>
      <c r="B113" t="s">
        <v>39</v>
      </c>
      <c r="C113">
        <v>0</v>
      </c>
      <c r="D113" t="s">
        <v>27</v>
      </c>
      <c r="E113" t="s">
        <v>27</v>
      </c>
      <c r="F113" t="s">
        <v>27</v>
      </c>
      <c r="G113" t="s">
        <v>27</v>
      </c>
      <c r="H113">
        <v>18.283999999999999</v>
      </c>
      <c r="I113">
        <v>6.9160000000000004</v>
      </c>
      <c r="J113">
        <f t="shared" si="6"/>
        <v>6.786999999999999</v>
      </c>
      <c r="K113">
        <v>4.5810000000000004</v>
      </c>
      <c r="L113">
        <v>1</v>
      </c>
      <c r="M113">
        <v>0</v>
      </c>
      <c r="N113">
        <v>1</v>
      </c>
      <c r="O113" t="s">
        <v>40</v>
      </c>
      <c r="P113" t="s">
        <v>31</v>
      </c>
      <c r="Q113">
        <v>0.23899999999999999</v>
      </c>
      <c r="R113">
        <v>0.34200000000000003</v>
      </c>
      <c r="S113">
        <v>0.80700000000000005</v>
      </c>
      <c r="T113">
        <v>0.69699999999999995</v>
      </c>
      <c r="U113">
        <v>1.3540000000000001</v>
      </c>
      <c r="V113">
        <v>0.58899999999999997</v>
      </c>
      <c r="AA113">
        <f>IF(Attempts[[#This Row],[keystroke_result]]="logged in",1,0)</f>
        <v>1</v>
      </c>
      <c r="AB113">
        <f>IF(Attempts[[#This Row],[graphical_result]]="logged in",1,0)</f>
        <v>1</v>
      </c>
      <c r="AC113">
        <f>IF(Attempts[[#This Row],[mouse_result]]="logged in",1,0)</f>
        <v>1</v>
      </c>
      <c r="AD113">
        <f>IF(Attempts[[#This Row],[final_result]]="logged in",1,0)</f>
        <v>1</v>
      </c>
      <c r="AE113">
        <f>IF(Attempts[[#This Row],[is_impostor]]=0,1,0)</f>
        <v>1</v>
      </c>
      <c r="AF113">
        <f>IF(Attempts[[#This Row],[is_impostor]]=1,1,0)</f>
        <v>0</v>
      </c>
      <c r="AG113">
        <f>IF(AND(Attempts[[#This Row],[keystroke_pass]]=1,Attempts[[#This Row],[graphical_pass]]=1,Attempts[[#This Row],[mouse_pass]]=1),1,0)</f>
        <v>1</v>
      </c>
      <c r="AH113">
        <f>IF(AND(Attempts[[#This Row],[keystroke_pass]]=1, OR(Attempts[[#This Row],[graphical_pass]]=1, Attempts[[#This Row],[mouse_pass]]=1)), 1, 0)</f>
        <v>1</v>
      </c>
      <c r="AI113">
        <f>IF(Attempts[[#This Row],[final_result]]="logged in",Attempts[[#This Row],[login_attempt_number]],"")</f>
        <v>1</v>
      </c>
      <c r="AJ113">
        <f>IF(AND(Attempts[[#This Row],[is_impostor]]=0,Attempts[[#This Row],[final_result]]="logged in"),1,0)</f>
        <v>1</v>
      </c>
      <c r="AK113">
        <f>IF(AND(Attempts[[#This Row],[is_impostor]]=0,Attempts[[#This Row],[final_result]]="logged in",Attempts[[#This Row],[tries_to_success]]&gt;1),1,0)</f>
        <v>0</v>
      </c>
      <c r="AL113">
        <f>IF(Attempts[[#This Row],[prompt_match]]=0,1,0)</f>
        <v>0</v>
      </c>
    </row>
    <row r="114" spans="1:38">
      <c r="A114">
        <f t="shared" si="7"/>
        <v>113</v>
      </c>
      <c r="B114" t="s">
        <v>39</v>
      </c>
      <c r="C114">
        <v>0</v>
      </c>
      <c r="D114" t="s">
        <v>27</v>
      </c>
      <c r="E114" t="s">
        <v>27</v>
      </c>
      <c r="F114" t="s">
        <v>27</v>
      </c>
      <c r="G114" t="s">
        <v>27</v>
      </c>
      <c r="H114">
        <v>20.913</v>
      </c>
      <c r="I114">
        <v>10.032999999999999</v>
      </c>
      <c r="J114">
        <f t="shared" si="6"/>
        <v>6.8850000000000016</v>
      </c>
      <c r="K114">
        <v>3.9950000000000001</v>
      </c>
      <c r="L114">
        <v>1</v>
      </c>
      <c r="M114">
        <v>0</v>
      </c>
      <c r="N114">
        <v>1</v>
      </c>
      <c r="O114" t="s">
        <v>40</v>
      </c>
      <c r="P114" t="s">
        <v>31</v>
      </c>
      <c r="Q114">
        <v>6.8000000000000005E-2</v>
      </c>
      <c r="R114">
        <v>9.1999999999999998E-2</v>
      </c>
      <c r="S114">
        <v>0.93600000000000005</v>
      </c>
      <c r="T114">
        <v>0.754</v>
      </c>
      <c r="U114">
        <v>1.26</v>
      </c>
      <c r="V114">
        <v>0.56999999999999995</v>
      </c>
      <c r="AA114">
        <f>IF(Attempts[[#This Row],[keystroke_result]]="logged in",1,0)</f>
        <v>1</v>
      </c>
      <c r="AB114">
        <f>IF(Attempts[[#This Row],[graphical_result]]="logged in",1,0)</f>
        <v>1</v>
      </c>
      <c r="AC114">
        <f>IF(Attempts[[#This Row],[mouse_result]]="logged in",1,0)</f>
        <v>1</v>
      </c>
      <c r="AD114">
        <f>IF(Attempts[[#This Row],[final_result]]="logged in",1,0)</f>
        <v>1</v>
      </c>
      <c r="AE114">
        <f>IF(Attempts[[#This Row],[is_impostor]]=0,1,0)</f>
        <v>1</v>
      </c>
      <c r="AF114">
        <f>IF(Attempts[[#This Row],[is_impostor]]=1,1,0)</f>
        <v>0</v>
      </c>
      <c r="AG114">
        <f>IF(AND(Attempts[[#This Row],[keystroke_pass]]=1,Attempts[[#This Row],[graphical_pass]]=1,Attempts[[#This Row],[mouse_pass]]=1),1,0)</f>
        <v>1</v>
      </c>
      <c r="AH114">
        <f>IF(AND(Attempts[[#This Row],[keystroke_pass]]=1, OR(Attempts[[#This Row],[graphical_pass]]=1, Attempts[[#This Row],[mouse_pass]]=1)), 1, 0)</f>
        <v>1</v>
      </c>
      <c r="AI114">
        <f>IF(Attempts[[#This Row],[final_result]]="logged in",Attempts[[#This Row],[login_attempt_number]],"")</f>
        <v>1</v>
      </c>
      <c r="AJ114">
        <f>IF(AND(Attempts[[#This Row],[is_impostor]]=0,Attempts[[#This Row],[final_result]]="logged in"),1,0)</f>
        <v>1</v>
      </c>
      <c r="AK114">
        <f>IF(AND(Attempts[[#This Row],[is_impostor]]=0,Attempts[[#This Row],[final_result]]="logged in",Attempts[[#This Row],[tries_to_success]]&gt;1),1,0)</f>
        <v>0</v>
      </c>
      <c r="AL114">
        <f>IF(Attempts[[#This Row],[prompt_match]]=0,1,0)</f>
        <v>0</v>
      </c>
    </row>
    <row r="115" spans="1:38">
      <c r="A115">
        <f t="shared" si="7"/>
        <v>114</v>
      </c>
      <c r="B115" t="s">
        <v>39</v>
      </c>
      <c r="C115">
        <v>0</v>
      </c>
      <c r="D115" t="s">
        <v>27</v>
      </c>
      <c r="E115" t="s">
        <v>27</v>
      </c>
      <c r="F115" t="s">
        <v>27</v>
      </c>
      <c r="G115" t="s">
        <v>27</v>
      </c>
      <c r="H115">
        <v>18.632999999999999</v>
      </c>
      <c r="I115">
        <v>7.0570000000000004</v>
      </c>
      <c r="J115">
        <f t="shared" si="6"/>
        <v>7.4719999999999978</v>
      </c>
      <c r="K115">
        <v>4.1040000000000001</v>
      </c>
      <c r="L115">
        <v>1</v>
      </c>
      <c r="M115">
        <v>0</v>
      </c>
      <c r="N115">
        <v>1</v>
      </c>
      <c r="O115" t="s">
        <v>40</v>
      </c>
      <c r="P115" t="s">
        <v>31</v>
      </c>
      <c r="Q115">
        <v>0.189</v>
      </c>
      <c r="R115">
        <v>0.218</v>
      </c>
      <c r="S115">
        <v>0.84099999999999997</v>
      </c>
      <c r="T115">
        <v>0.77500000000000002</v>
      </c>
      <c r="U115">
        <v>1.3049999999999999</v>
      </c>
      <c r="V115">
        <v>0.56299999999999994</v>
      </c>
      <c r="AA115">
        <f>IF(Attempts[[#This Row],[keystroke_result]]="logged in",1,0)</f>
        <v>1</v>
      </c>
      <c r="AB115">
        <f>IF(Attempts[[#This Row],[graphical_result]]="logged in",1,0)</f>
        <v>1</v>
      </c>
      <c r="AC115">
        <f>IF(Attempts[[#This Row],[mouse_result]]="logged in",1,0)</f>
        <v>1</v>
      </c>
      <c r="AD115">
        <f>IF(Attempts[[#This Row],[final_result]]="logged in",1,0)</f>
        <v>1</v>
      </c>
      <c r="AE115">
        <f>IF(Attempts[[#This Row],[is_impostor]]=0,1,0)</f>
        <v>1</v>
      </c>
      <c r="AF115">
        <f>IF(Attempts[[#This Row],[is_impostor]]=1,1,0)</f>
        <v>0</v>
      </c>
      <c r="AG115">
        <f>IF(AND(Attempts[[#This Row],[keystroke_pass]]=1,Attempts[[#This Row],[graphical_pass]]=1,Attempts[[#This Row],[mouse_pass]]=1),1,0)</f>
        <v>1</v>
      </c>
      <c r="AH115">
        <f>IF(AND(Attempts[[#This Row],[keystroke_pass]]=1, OR(Attempts[[#This Row],[graphical_pass]]=1, Attempts[[#This Row],[mouse_pass]]=1)), 1, 0)</f>
        <v>1</v>
      </c>
      <c r="AI115">
        <f>IF(Attempts[[#This Row],[final_result]]="logged in",Attempts[[#This Row],[login_attempt_number]],"")</f>
        <v>1</v>
      </c>
      <c r="AJ115">
        <f>IF(AND(Attempts[[#This Row],[is_impostor]]=0,Attempts[[#This Row],[final_result]]="logged in"),1,0)</f>
        <v>1</v>
      </c>
      <c r="AK115">
        <f>IF(AND(Attempts[[#This Row],[is_impostor]]=0,Attempts[[#This Row],[final_result]]="logged in",Attempts[[#This Row],[tries_to_success]]&gt;1),1,0)</f>
        <v>0</v>
      </c>
      <c r="AL115">
        <f>IF(Attempts[[#This Row],[prompt_match]]=0,1,0)</f>
        <v>0</v>
      </c>
    </row>
    <row r="116" spans="1:38">
      <c r="A116">
        <f t="shared" si="7"/>
        <v>115</v>
      </c>
      <c r="B116" t="s">
        <v>39</v>
      </c>
      <c r="C116">
        <v>0</v>
      </c>
      <c r="D116" t="s">
        <v>27</v>
      </c>
      <c r="E116" t="s">
        <v>27</v>
      </c>
      <c r="F116" t="s">
        <v>28</v>
      </c>
      <c r="G116" t="s">
        <v>27</v>
      </c>
      <c r="H116">
        <v>16.463000000000001</v>
      </c>
      <c r="I116">
        <v>6.2169999999999996</v>
      </c>
      <c r="J116">
        <f t="shared" si="6"/>
        <v>6.9040000000000017</v>
      </c>
      <c r="K116">
        <v>3.3420000000000001</v>
      </c>
      <c r="L116">
        <v>1</v>
      </c>
      <c r="M116">
        <v>0</v>
      </c>
      <c r="N116">
        <v>1</v>
      </c>
      <c r="O116" t="s">
        <v>40</v>
      </c>
      <c r="P116" t="s">
        <v>31</v>
      </c>
      <c r="Q116">
        <v>0.307</v>
      </c>
      <c r="R116">
        <v>0.379</v>
      </c>
      <c r="S116">
        <v>0.76500000000000001</v>
      </c>
      <c r="T116">
        <v>1.151</v>
      </c>
      <c r="U116">
        <v>2.375</v>
      </c>
      <c r="V116">
        <v>0.46500000000000002</v>
      </c>
      <c r="AA116">
        <f>IF(Attempts[[#This Row],[keystroke_result]]="logged in",1,0)</f>
        <v>1</v>
      </c>
      <c r="AB116">
        <f>IF(Attempts[[#This Row],[graphical_result]]="logged in",1,0)</f>
        <v>1</v>
      </c>
      <c r="AC116">
        <f>IF(Attempts[[#This Row],[mouse_result]]="logged in",1,0)</f>
        <v>0</v>
      </c>
      <c r="AD116">
        <f>IF(Attempts[[#This Row],[final_result]]="logged in",1,0)</f>
        <v>1</v>
      </c>
      <c r="AE116">
        <f>IF(Attempts[[#This Row],[is_impostor]]=0,1,0)</f>
        <v>1</v>
      </c>
      <c r="AF116">
        <f>IF(Attempts[[#This Row],[is_impostor]]=1,1,0)</f>
        <v>0</v>
      </c>
      <c r="AG116">
        <f>IF(AND(Attempts[[#This Row],[keystroke_pass]]=1,Attempts[[#This Row],[graphical_pass]]=1,Attempts[[#This Row],[mouse_pass]]=1),1,0)</f>
        <v>0</v>
      </c>
      <c r="AH116">
        <f>IF(AND(Attempts[[#This Row],[keystroke_pass]]=1, OR(Attempts[[#This Row],[graphical_pass]]=1, Attempts[[#This Row],[mouse_pass]]=1)), 1, 0)</f>
        <v>1</v>
      </c>
      <c r="AI116">
        <f>IF(Attempts[[#This Row],[final_result]]="logged in",Attempts[[#This Row],[login_attempt_number]],"")</f>
        <v>1</v>
      </c>
      <c r="AJ116">
        <f>IF(AND(Attempts[[#This Row],[is_impostor]]=0,Attempts[[#This Row],[final_result]]="logged in"),1,0)</f>
        <v>1</v>
      </c>
      <c r="AK116">
        <f>IF(AND(Attempts[[#This Row],[is_impostor]]=0,Attempts[[#This Row],[final_result]]="logged in",Attempts[[#This Row],[tries_to_success]]&gt;1),1,0)</f>
        <v>0</v>
      </c>
      <c r="AL116">
        <f>IF(Attempts[[#This Row],[prompt_match]]=0,1,0)</f>
        <v>0</v>
      </c>
    </row>
    <row r="117" spans="1:38">
      <c r="A117">
        <f t="shared" si="7"/>
        <v>116</v>
      </c>
      <c r="B117" t="s">
        <v>39</v>
      </c>
      <c r="C117">
        <v>0</v>
      </c>
      <c r="D117" t="s">
        <v>27</v>
      </c>
      <c r="E117" t="s">
        <v>27</v>
      </c>
      <c r="F117" t="s">
        <v>27</v>
      </c>
      <c r="G117" t="s">
        <v>27</v>
      </c>
      <c r="H117">
        <v>20.997</v>
      </c>
      <c r="I117">
        <v>6.6189999999999998</v>
      </c>
      <c r="J117">
        <f t="shared" si="6"/>
        <v>10.715</v>
      </c>
      <c r="K117">
        <v>3.6629999999999998</v>
      </c>
      <c r="L117">
        <v>1</v>
      </c>
      <c r="M117">
        <v>0</v>
      </c>
      <c r="N117">
        <v>1</v>
      </c>
      <c r="O117" t="s">
        <v>40</v>
      </c>
      <c r="P117" t="s">
        <v>31</v>
      </c>
      <c r="Q117">
        <v>0.30099999999999999</v>
      </c>
      <c r="R117">
        <v>0.33800000000000002</v>
      </c>
      <c r="S117">
        <v>0.76800000000000002</v>
      </c>
      <c r="T117">
        <v>0.77500000000000002</v>
      </c>
      <c r="U117">
        <v>1.381</v>
      </c>
      <c r="V117">
        <v>0.56299999999999994</v>
      </c>
      <c r="AA117">
        <f>IF(Attempts[[#This Row],[keystroke_result]]="logged in",1,0)</f>
        <v>1</v>
      </c>
      <c r="AB117">
        <f>IF(Attempts[[#This Row],[graphical_result]]="logged in",1,0)</f>
        <v>1</v>
      </c>
      <c r="AC117">
        <f>IF(Attempts[[#This Row],[mouse_result]]="logged in",1,0)</f>
        <v>1</v>
      </c>
      <c r="AD117">
        <f>IF(Attempts[[#This Row],[final_result]]="logged in",1,0)</f>
        <v>1</v>
      </c>
      <c r="AE117">
        <f>IF(Attempts[[#This Row],[is_impostor]]=0,1,0)</f>
        <v>1</v>
      </c>
      <c r="AF117">
        <f>IF(Attempts[[#This Row],[is_impostor]]=1,1,0)</f>
        <v>0</v>
      </c>
      <c r="AG117">
        <f>IF(AND(Attempts[[#This Row],[keystroke_pass]]=1,Attempts[[#This Row],[graphical_pass]]=1,Attempts[[#This Row],[mouse_pass]]=1),1,0)</f>
        <v>1</v>
      </c>
      <c r="AH117">
        <f>IF(AND(Attempts[[#This Row],[keystroke_pass]]=1, OR(Attempts[[#This Row],[graphical_pass]]=1, Attempts[[#This Row],[mouse_pass]]=1)), 1, 0)</f>
        <v>1</v>
      </c>
      <c r="AI117">
        <f>IF(Attempts[[#This Row],[final_result]]="logged in",Attempts[[#This Row],[login_attempt_number]],"")</f>
        <v>1</v>
      </c>
      <c r="AJ117">
        <f>IF(AND(Attempts[[#This Row],[is_impostor]]=0,Attempts[[#This Row],[final_result]]="logged in"),1,0)</f>
        <v>1</v>
      </c>
      <c r="AK117">
        <f>IF(AND(Attempts[[#This Row],[is_impostor]]=0,Attempts[[#This Row],[final_result]]="logged in",Attempts[[#This Row],[tries_to_success]]&gt;1),1,0)</f>
        <v>0</v>
      </c>
      <c r="AL117">
        <f>IF(Attempts[[#This Row],[prompt_match]]=0,1,0)</f>
        <v>0</v>
      </c>
    </row>
    <row r="118" spans="1:38">
      <c r="A118">
        <f t="shared" si="7"/>
        <v>117</v>
      </c>
      <c r="B118" t="s">
        <v>39</v>
      </c>
      <c r="C118">
        <v>0</v>
      </c>
      <c r="D118" t="s">
        <v>27</v>
      </c>
      <c r="E118" t="s">
        <v>27</v>
      </c>
      <c r="F118" t="s">
        <v>27</v>
      </c>
      <c r="G118" t="s">
        <v>27</v>
      </c>
      <c r="H118">
        <v>26.17</v>
      </c>
      <c r="I118">
        <v>8.4130000000000003</v>
      </c>
      <c r="J118">
        <f t="shared" si="6"/>
        <v>13.095000000000002</v>
      </c>
      <c r="K118">
        <v>4.6619999999999999</v>
      </c>
      <c r="L118">
        <v>1</v>
      </c>
      <c r="M118">
        <v>0</v>
      </c>
      <c r="N118">
        <v>1</v>
      </c>
      <c r="O118" t="s">
        <v>40</v>
      </c>
      <c r="P118" t="s">
        <v>31</v>
      </c>
      <c r="Q118">
        <v>8.5000000000000006E-2</v>
      </c>
      <c r="R118">
        <v>9.1999999999999998E-2</v>
      </c>
      <c r="S118">
        <v>0.92200000000000004</v>
      </c>
      <c r="T118">
        <v>0.77100000000000002</v>
      </c>
      <c r="U118">
        <v>1.069</v>
      </c>
      <c r="V118">
        <v>0.56499999999999995</v>
      </c>
      <c r="AA118">
        <f>IF(Attempts[[#This Row],[keystroke_result]]="logged in",1,0)</f>
        <v>1</v>
      </c>
      <c r="AB118">
        <f>IF(Attempts[[#This Row],[graphical_result]]="logged in",1,0)</f>
        <v>1</v>
      </c>
      <c r="AC118">
        <f>IF(Attempts[[#This Row],[mouse_result]]="logged in",1,0)</f>
        <v>1</v>
      </c>
      <c r="AD118">
        <f>IF(Attempts[[#This Row],[final_result]]="logged in",1,0)</f>
        <v>1</v>
      </c>
      <c r="AE118">
        <f>IF(Attempts[[#This Row],[is_impostor]]=0,1,0)</f>
        <v>1</v>
      </c>
      <c r="AF118">
        <f>IF(Attempts[[#This Row],[is_impostor]]=1,1,0)</f>
        <v>0</v>
      </c>
      <c r="AG118">
        <f>IF(AND(Attempts[[#This Row],[keystroke_pass]]=1,Attempts[[#This Row],[graphical_pass]]=1,Attempts[[#This Row],[mouse_pass]]=1),1,0)</f>
        <v>1</v>
      </c>
      <c r="AH118">
        <f>IF(AND(Attempts[[#This Row],[keystroke_pass]]=1, OR(Attempts[[#This Row],[graphical_pass]]=1, Attempts[[#This Row],[mouse_pass]]=1)), 1, 0)</f>
        <v>1</v>
      </c>
      <c r="AI118">
        <f>IF(Attempts[[#This Row],[final_result]]="logged in",Attempts[[#This Row],[login_attempt_number]],"")</f>
        <v>1</v>
      </c>
      <c r="AJ118">
        <f>IF(AND(Attempts[[#This Row],[is_impostor]]=0,Attempts[[#This Row],[final_result]]="logged in"),1,0)</f>
        <v>1</v>
      </c>
      <c r="AK118">
        <f>IF(AND(Attempts[[#This Row],[is_impostor]]=0,Attempts[[#This Row],[final_result]]="logged in",Attempts[[#This Row],[tries_to_success]]&gt;1),1,0)</f>
        <v>0</v>
      </c>
      <c r="AL118">
        <f>IF(Attempts[[#This Row],[prompt_match]]=0,1,0)</f>
        <v>0</v>
      </c>
    </row>
    <row r="119" spans="1:38">
      <c r="A119">
        <f t="shared" si="7"/>
        <v>118</v>
      </c>
      <c r="B119" t="s">
        <v>39</v>
      </c>
      <c r="C119">
        <v>0</v>
      </c>
      <c r="D119" t="s">
        <v>27</v>
      </c>
      <c r="E119" t="s">
        <v>27</v>
      </c>
      <c r="F119" t="s">
        <v>27</v>
      </c>
      <c r="G119" t="s">
        <v>27</v>
      </c>
      <c r="H119">
        <v>20.03</v>
      </c>
      <c r="I119">
        <v>6.7750000000000004</v>
      </c>
      <c r="J119">
        <f t="shared" si="6"/>
        <v>9.620000000000001</v>
      </c>
      <c r="K119">
        <v>3.6349999999999998</v>
      </c>
      <c r="L119">
        <v>1</v>
      </c>
      <c r="M119">
        <v>0</v>
      </c>
      <c r="N119">
        <v>1</v>
      </c>
      <c r="O119" t="s">
        <v>40</v>
      </c>
      <c r="P119" t="s">
        <v>31</v>
      </c>
      <c r="Q119">
        <v>0.193</v>
      </c>
      <c r="R119">
        <v>0.247</v>
      </c>
      <c r="S119">
        <v>0.83799999999999997</v>
      </c>
      <c r="T119">
        <v>0.86699999999999999</v>
      </c>
      <c r="U119">
        <v>1.61</v>
      </c>
      <c r="V119">
        <v>0.53600000000000003</v>
      </c>
      <c r="AA119">
        <f>IF(Attempts[[#This Row],[keystroke_result]]="logged in",1,0)</f>
        <v>1</v>
      </c>
      <c r="AB119">
        <f>IF(Attempts[[#This Row],[graphical_result]]="logged in",1,0)</f>
        <v>1</v>
      </c>
      <c r="AC119">
        <f>IF(Attempts[[#This Row],[mouse_result]]="logged in",1,0)</f>
        <v>1</v>
      </c>
      <c r="AD119">
        <f>IF(Attempts[[#This Row],[final_result]]="logged in",1,0)</f>
        <v>1</v>
      </c>
      <c r="AE119">
        <f>IF(Attempts[[#This Row],[is_impostor]]=0,1,0)</f>
        <v>1</v>
      </c>
      <c r="AF119">
        <f>IF(Attempts[[#This Row],[is_impostor]]=1,1,0)</f>
        <v>0</v>
      </c>
      <c r="AG119">
        <f>IF(AND(Attempts[[#This Row],[keystroke_pass]]=1,Attempts[[#This Row],[graphical_pass]]=1,Attempts[[#This Row],[mouse_pass]]=1),1,0)</f>
        <v>1</v>
      </c>
      <c r="AH119">
        <f>IF(AND(Attempts[[#This Row],[keystroke_pass]]=1, OR(Attempts[[#This Row],[graphical_pass]]=1, Attempts[[#This Row],[mouse_pass]]=1)), 1, 0)</f>
        <v>1</v>
      </c>
      <c r="AI119">
        <f>IF(Attempts[[#This Row],[final_result]]="logged in",Attempts[[#This Row],[login_attempt_number]],"")</f>
        <v>1</v>
      </c>
      <c r="AJ119">
        <f>IF(AND(Attempts[[#This Row],[is_impostor]]=0,Attempts[[#This Row],[final_result]]="logged in"),1,0)</f>
        <v>1</v>
      </c>
      <c r="AK119">
        <f>IF(AND(Attempts[[#This Row],[is_impostor]]=0,Attempts[[#This Row],[final_result]]="logged in",Attempts[[#This Row],[tries_to_success]]&gt;1),1,0)</f>
        <v>0</v>
      </c>
      <c r="AL119">
        <f>IF(Attempts[[#This Row],[prompt_match]]=0,1,0)</f>
        <v>0</v>
      </c>
    </row>
    <row r="120" spans="1:38">
      <c r="A120">
        <f t="shared" si="7"/>
        <v>119</v>
      </c>
      <c r="B120" t="s">
        <v>39</v>
      </c>
      <c r="C120">
        <v>0</v>
      </c>
      <c r="D120" t="s">
        <v>27</v>
      </c>
      <c r="E120" t="s">
        <v>27</v>
      </c>
      <c r="F120" t="s">
        <v>27</v>
      </c>
      <c r="G120" t="s">
        <v>27</v>
      </c>
      <c r="H120">
        <v>23.478000000000002</v>
      </c>
      <c r="I120">
        <v>8.2159999999999993</v>
      </c>
      <c r="J120">
        <f t="shared" si="6"/>
        <v>11.228000000000002</v>
      </c>
      <c r="K120">
        <v>4.0339999999999998</v>
      </c>
      <c r="L120">
        <v>1</v>
      </c>
      <c r="M120">
        <v>0</v>
      </c>
      <c r="N120">
        <v>1</v>
      </c>
      <c r="O120" t="s">
        <v>40</v>
      </c>
      <c r="P120" t="s">
        <v>31</v>
      </c>
      <c r="Q120">
        <v>0.13300000000000001</v>
      </c>
      <c r="R120">
        <v>0.16900000000000001</v>
      </c>
      <c r="S120">
        <v>0.88300000000000001</v>
      </c>
      <c r="T120">
        <v>0.76300000000000001</v>
      </c>
      <c r="U120">
        <v>1.272</v>
      </c>
      <c r="V120">
        <v>0.56699999999999995</v>
      </c>
      <c r="AA120">
        <f>IF(Attempts[[#This Row],[keystroke_result]]="logged in",1,0)</f>
        <v>1</v>
      </c>
      <c r="AB120">
        <f>IF(Attempts[[#This Row],[graphical_result]]="logged in",1,0)</f>
        <v>1</v>
      </c>
      <c r="AC120">
        <f>IF(Attempts[[#This Row],[mouse_result]]="logged in",1,0)</f>
        <v>1</v>
      </c>
      <c r="AD120">
        <f>IF(Attempts[[#This Row],[final_result]]="logged in",1,0)</f>
        <v>1</v>
      </c>
      <c r="AE120">
        <f>IF(Attempts[[#This Row],[is_impostor]]=0,1,0)</f>
        <v>1</v>
      </c>
      <c r="AF120">
        <f>IF(Attempts[[#This Row],[is_impostor]]=1,1,0)</f>
        <v>0</v>
      </c>
      <c r="AG120">
        <f>IF(AND(Attempts[[#This Row],[keystroke_pass]]=1,Attempts[[#This Row],[graphical_pass]]=1,Attempts[[#This Row],[mouse_pass]]=1),1,0)</f>
        <v>1</v>
      </c>
      <c r="AH120">
        <f>IF(AND(Attempts[[#This Row],[keystroke_pass]]=1, OR(Attempts[[#This Row],[graphical_pass]]=1, Attempts[[#This Row],[mouse_pass]]=1)), 1, 0)</f>
        <v>1</v>
      </c>
      <c r="AI120">
        <f>IF(Attempts[[#This Row],[final_result]]="logged in",Attempts[[#This Row],[login_attempt_number]],"")</f>
        <v>1</v>
      </c>
      <c r="AJ120">
        <f>IF(AND(Attempts[[#This Row],[is_impostor]]=0,Attempts[[#This Row],[final_result]]="logged in"),1,0)</f>
        <v>1</v>
      </c>
      <c r="AK120">
        <f>IF(AND(Attempts[[#This Row],[is_impostor]]=0,Attempts[[#This Row],[final_result]]="logged in",Attempts[[#This Row],[tries_to_success]]&gt;1),1,0)</f>
        <v>0</v>
      </c>
      <c r="AL120">
        <f>IF(Attempts[[#This Row],[prompt_match]]=0,1,0)</f>
        <v>0</v>
      </c>
    </row>
    <row r="121" spans="1:38">
      <c r="A121">
        <f t="shared" si="7"/>
        <v>120</v>
      </c>
      <c r="B121" t="s">
        <v>39</v>
      </c>
      <c r="C121">
        <v>0</v>
      </c>
      <c r="D121" t="s">
        <v>27</v>
      </c>
      <c r="E121" t="s">
        <v>27</v>
      </c>
      <c r="F121" t="s">
        <v>27</v>
      </c>
      <c r="G121" t="s">
        <v>27</v>
      </c>
      <c r="H121">
        <v>24.26</v>
      </c>
      <c r="I121">
        <v>7.83</v>
      </c>
      <c r="J121">
        <f t="shared" si="6"/>
        <v>11.444000000000003</v>
      </c>
      <c r="K121">
        <v>4.9859999999999998</v>
      </c>
      <c r="L121">
        <v>1</v>
      </c>
      <c r="M121">
        <v>0</v>
      </c>
      <c r="N121">
        <v>1</v>
      </c>
      <c r="O121" t="s">
        <v>40</v>
      </c>
      <c r="P121" t="s">
        <v>31</v>
      </c>
      <c r="Q121">
        <v>0.16900000000000001</v>
      </c>
      <c r="R121">
        <v>0.28599999999999998</v>
      </c>
      <c r="S121">
        <v>0.85499999999999998</v>
      </c>
      <c r="T121">
        <v>0.97</v>
      </c>
      <c r="U121">
        <v>1.236</v>
      </c>
      <c r="V121">
        <v>0.50800000000000001</v>
      </c>
      <c r="AA121">
        <f>IF(Attempts[[#This Row],[keystroke_result]]="logged in",1,0)</f>
        <v>1</v>
      </c>
      <c r="AB121">
        <f>IF(Attempts[[#This Row],[graphical_result]]="logged in",1,0)</f>
        <v>1</v>
      </c>
      <c r="AC121">
        <f>IF(Attempts[[#This Row],[mouse_result]]="logged in",1,0)</f>
        <v>1</v>
      </c>
      <c r="AD121">
        <f>IF(Attempts[[#This Row],[final_result]]="logged in",1,0)</f>
        <v>1</v>
      </c>
      <c r="AE121">
        <f>IF(Attempts[[#This Row],[is_impostor]]=0,1,0)</f>
        <v>1</v>
      </c>
      <c r="AF121">
        <f>IF(Attempts[[#This Row],[is_impostor]]=1,1,0)</f>
        <v>0</v>
      </c>
      <c r="AG121">
        <f>IF(AND(Attempts[[#This Row],[keystroke_pass]]=1,Attempts[[#This Row],[graphical_pass]]=1,Attempts[[#This Row],[mouse_pass]]=1),1,0)</f>
        <v>1</v>
      </c>
      <c r="AH121">
        <f>IF(AND(Attempts[[#This Row],[keystroke_pass]]=1, OR(Attempts[[#This Row],[graphical_pass]]=1, Attempts[[#This Row],[mouse_pass]]=1)), 1, 0)</f>
        <v>1</v>
      </c>
      <c r="AI121">
        <f>IF(Attempts[[#This Row],[final_result]]="logged in",Attempts[[#This Row],[login_attempt_number]],"")</f>
        <v>1</v>
      </c>
      <c r="AJ121">
        <f>IF(AND(Attempts[[#This Row],[is_impostor]]=0,Attempts[[#This Row],[final_result]]="logged in"),1,0)</f>
        <v>1</v>
      </c>
      <c r="AK121">
        <f>IF(AND(Attempts[[#This Row],[is_impostor]]=0,Attempts[[#This Row],[final_result]]="logged in",Attempts[[#This Row],[tries_to_success]]&gt;1),1,0)</f>
        <v>0</v>
      </c>
      <c r="AL121">
        <f>IF(Attempts[[#This Row],[prompt_match]]=0,1,0)</f>
        <v>0</v>
      </c>
    </row>
    <row r="132" spans="2:2">
      <c r="B132" t="str" cm="1">
        <f t="array" ref="B132:B137">_xlfn.UNIQUE(Attempts[username])</f>
        <v>jenson</v>
      </c>
    </row>
    <row r="133" spans="2:2">
      <c r="B133" t="str">
        <v>joshua</v>
      </c>
    </row>
    <row r="134" spans="2:2">
      <c r="B134" t="str">
        <v>mara</v>
      </c>
    </row>
    <row r="135" spans="2:2">
      <c r="B135" t="str">
        <v>mihai</v>
      </c>
    </row>
    <row r="136" spans="2:2">
      <c r="B136" t="str">
        <v>fizza</v>
      </c>
    </row>
    <row r="137" spans="2:2">
      <c r="B137" t="str">
        <v>dee1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A6A9-268C-460F-87FA-7A28CB5C2E77}">
  <dimension ref="B1:K61"/>
  <sheetViews>
    <sheetView zoomScale="10" zoomScaleNormal="10" workbookViewId="0">
      <selection activeCell="DA546" sqref="DA546"/>
    </sheetView>
  </sheetViews>
  <sheetFormatPr defaultRowHeight="15"/>
  <cols>
    <col min="2" max="2" width="22.85546875" bestFit="1" customWidth="1"/>
    <col min="3" max="3" width="23.140625" bestFit="1" customWidth="1"/>
    <col min="6" max="7" width="20.28515625" bestFit="1" customWidth="1"/>
    <col min="10" max="10" width="20.85546875" bestFit="1" customWidth="1"/>
    <col min="11" max="11" width="21.140625" bestFit="1" customWidth="1"/>
  </cols>
  <sheetData>
    <row r="1" spans="2:11">
      <c r="B1" s="1" t="s">
        <v>137</v>
      </c>
      <c r="C1" s="1" t="s">
        <v>134</v>
      </c>
      <c r="F1" s="1" t="s">
        <v>135</v>
      </c>
      <c r="G1" s="1" t="s">
        <v>132</v>
      </c>
      <c r="J1" s="1" t="s">
        <v>136</v>
      </c>
      <c r="K1" s="1" t="s">
        <v>133</v>
      </c>
    </row>
    <row r="2" spans="2:11">
      <c r="B2">
        <v>0.64100000000000001</v>
      </c>
      <c r="C2">
        <v>0.70799999999999996</v>
      </c>
      <c r="F2">
        <v>0.55900000000000005</v>
      </c>
      <c r="G2">
        <v>0.41199999999999998</v>
      </c>
      <c r="J2">
        <v>0.94499999999999995</v>
      </c>
      <c r="K2">
        <v>0.68700000000000006</v>
      </c>
    </row>
    <row r="3" spans="2:11">
      <c r="B3">
        <v>0.59599999999999997</v>
      </c>
      <c r="C3">
        <v>0.59499999999999997</v>
      </c>
      <c r="F3">
        <v>0.67800000000000005</v>
      </c>
      <c r="G3">
        <v>0.68200000000000005</v>
      </c>
      <c r="J3">
        <v>0.98799999999999999</v>
      </c>
      <c r="K3">
        <v>0.97699999999999998</v>
      </c>
    </row>
    <row r="4" spans="2:11">
      <c r="B4">
        <v>0.626</v>
      </c>
      <c r="C4">
        <v>0.56399999999999995</v>
      </c>
      <c r="F4">
        <v>0.59699999999999998</v>
      </c>
      <c r="G4">
        <v>0.77300000000000002</v>
      </c>
      <c r="J4">
        <v>1.056</v>
      </c>
      <c r="K4">
        <v>1.1539999999999999</v>
      </c>
    </row>
    <row r="5" spans="2:11">
      <c r="B5">
        <v>0.61899999999999999</v>
      </c>
      <c r="C5">
        <v>0.77500000000000002</v>
      </c>
      <c r="F5">
        <v>0.61599999999999999</v>
      </c>
      <c r="G5">
        <v>0.28999999999999998</v>
      </c>
      <c r="J5">
        <v>1.0209999999999999</v>
      </c>
      <c r="K5">
        <v>0.67200000000000004</v>
      </c>
    </row>
    <row r="6" spans="2:11">
      <c r="B6">
        <v>0.64200000000000002</v>
      </c>
      <c r="C6">
        <v>0.66500000000000004</v>
      </c>
      <c r="F6">
        <v>0.55800000000000005</v>
      </c>
      <c r="G6">
        <v>0.504</v>
      </c>
      <c r="J6">
        <v>1.006</v>
      </c>
      <c r="K6">
        <v>0.90200000000000002</v>
      </c>
    </row>
    <row r="7" spans="2:11">
      <c r="B7">
        <v>0.60399999999999998</v>
      </c>
      <c r="C7">
        <v>0.72399999999999998</v>
      </c>
      <c r="F7">
        <v>0.65500000000000003</v>
      </c>
      <c r="G7">
        <v>0.38200000000000001</v>
      </c>
      <c r="J7">
        <v>1.0089999999999999</v>
      </c>
      <c r="K7">
        <v>0.73099999999999998</v>
      </c>
    </row>
    <row r="8" spans="2:11">
      <c r="B8">
        <v>0.63400000000000001</v>
      </c>
      <c r="C8">
        <v>0.53700000000000003</v>
      </c>
      <c r="F8">
        <v>0.57699999999999996</v>
      </c>
      <c r="G8">
        <v>0.86199999999999999</v>
      </c>
      <c r="J8">
        <v>1.022</v>
      </c>
      <c r="K8">
        <v>2.1659999999999999</v>
      </c>
    </row>
    <row r="9" spans="2:11">
      <c r="B9">
        <v>0.65300000000000002</v>
      </c>
      <c r="C9">
        <v>0.54</v>
      </c>
      <c r="F9">
        <v>0.53100000000000003</v>
      </c>
      <c r="G9">
        <v>0.85099999999999998</v>
      </c>
      <c r="J9">
        <v>1.016</v>
      </c>
      <c r="K9">
        <v>1.738</v>
      </c>
    </row>
    <row r="10" spans="2:11">
      <c r="B10">
        <v>0.63600000000000001</v>
      </c>
      <c r="C10">
        <v>0.47599999999999998</v>
      </c>
      <c r="F10">
        <v>0.57199999999999995</v>
      </c>
      <c r="G10">
        <v>1.1000000000000001</v>
      </c>
      <c r="J10">
        <v>0.93799999999999994</v>
      </c>
      <c r="K10">
        <v>2.4910000000000001</v>
      </c>
    </row>
    <row r="11" spans="2:11">
      <c r="B11">
        <v>0.58699999999999997</v>
      </c>
      <c r="C11">
        <v>0.45700000000000002</v>
      </c>
      <c r="F11">
        <v>0.70299999999999996</v>
      </c>
      <c r="G11">
        <v>1.1879999999999999</v>
      </c>
      <c r="J11">
        <v>0.999</v>
      </c>
      <c r="K11">
        <v>2.5059999999999998</v>
      </c>
    </row>
    <row r="12" spans="2:11">
      <c r="B12">
        <v>0.67600000000000005</v>
      </c>
      <c r="C12">
        <v>0.23300000000000001</v>
      </c>
      <c r="F12">
        <v>0.48</v>
      </c>
      <c r="G12">
        <v>3.2879999999999998</v>
      </c>
      <c r="J12">
        <v>0.79500000000000004</v>
      </c>
      <c r="K12">
        <v>7.0359999999999996</v>
      </c>
    </row>
    <row r="13" spans="2:11">
      <c r="B13">
        <v>0.64900000000000002</v>
      </c>
      <c r="C13">
        <v>0.12</v>
      </c>
      <c r="F13">
        <v>0.54200000000000004</v>
      </c>
      <c r="G13">
        <v>4.3259999999999996</v>
      </c>
      <c r="J13">
        <v>1.181</v>
      </c>
      <c r="K13">
        <v>7.78</v>
      </c>
    </row>
    <row r="14" spans="2:11">
      <c r="B14">
        <v>0.51400000000000001</v>
      </c>
      <c r="C14">
        <v>0.433</v>
      </c>
      <c r="F14">
        <v>0.94699999999999995</v>
      </c>
      <c r="G14">
        <v>1.3080000000000001</v>
      </c>
      <c r="J14">
        <v>1.4510000000000001</v>
      </c>
      <c r="K14">
        <v>1.716</v>
      </c>
    </row>
    <row r="15" spans="2:11">
      <c r="B15">
        <v>0.25600000000000001</v>
      </c>
      <c r="C15">
        <v>0.33400000000000002</v>
      </c>
      <c r="F15">
        <v>2.9129999999999998</v>
      </c>
      <c r="G15">
        <v>1.9950000000000001</v>
      </c>
      <c r="J15">
        <v>4.5730000000000004</v>
      </c>
      <c r="K15">
        <v>3.7759999999999998</v>
      </c>
    </row>
    <row r="16" spans="2:11">
      <c r="B16">
        <v>0.38900000000000001</v>
      </c>
      <c r="C16">
        <v>0.46100000000000002</v>
      </c>
      <c r="F16">
        <v>1.569</v>
      </c>
      <c r="G16">
        <v>1.17</v>
      </c>
      <c r="J16">
        <v>3.1419999999999999</v>
      </c>
      <c r="K16">
        <v>2.3130000000000002</v>
      </c>
    </row>
    <row r="17" spans="2:11">
      <c r="B17">
        <v>0.47899999999999998</v>
      </c>
      <c r="C17">
        <v>0.433</v>
      </c>
      <c r="F17">
        <v>1.087</v>
      </c>
      <c r="G17">
        <v>1.3080000000000001</v>
      </c>
      <c r="J17">
        <v>2.569</v>
      </c>
      <c r="K17">
        <v>1.716</v>
      </c>
    </row>
    <row r="18" spans="2:11">
      <c r="B18">
        <v>0.57099999999999995</v>
      </c>
      <c r="C18">
        <v>0.22800000000000001</v>
      </c>
      <c r="F18">
        <v>0.752</v>
      </c>
      <c r="G18">
        <v>3.3879999999999999</v>
      </c>
      <c r="J18">
        <v>2.2250000000000001</v>
      </c>
      <c r="K18">
        <v>6.1609999999999996</v>
      </c>
    </row>
    <row r="19" spans="2:11">
      <c r="B19">
        <v>0.45400000000000001</v>
      </c>
      <c r="C19">
        <v>0.23300000000000001</v>
      </c>
      <c r="F19">
        <v>1.204</v>
      </c>
      <c r="G19">
        <v>3.2879999999999998</v>
      </c>
      <c r="J19">
        <v>3.2650000000000001</v>
      </c>
      <c r="K19">
        <v>7.0359999999999996</v>
      </c>
    </row>
    <row r="20" spans="2:11">
      <c r="B20">
        <v>0.442</v>
      </c>
      <c r="C20">
        <v>0.17699999999999999</v>
      </c>
      <c r="F20">
        <v>1.262</v>
      </c>
      <c r="G20">
        <v>4.6360000000000001</v>
      </c>
      <c r="J20">
        <v>2.121</v>
      </c>
      <c r="K20">
        <v>8.173</v>
      </c>
    </row>
    <row r="21" spans="2:11">
      <c r="B21">
        <v>0.53100000000000003</v>
      </c>
      <c r="C21">
        <v>0.24399999999999999</v>
      </c>
      <c r="F21">
        <v>0.88300000000000001</v>
      </c>
      <c r="G21">
        <v>3.101</v>
      </c>
      <c r="J21">
        <v>1.931</v>
      </c>
      <c r="K21">
        <v>8.7750000000000004</v>
      </c>
    </row>
    <row r="22" spans="2:11">
      <c r="B22">
        <v>0.58299999999999996</v>
      </c>
      <c r="C22">
        <v>0.17399999999999999</v>
      </c>
      <c r="F22">
        <v>0.71499999999999997</v>
      </c>
      <c r="G22">
        <v>4.7309999999999999</v>
      </c>
      <c r="J22">
        <v>1.42</v>
      </c>
      <c r="K22">
        <v>6.2249999999999996</v>
      </c>
    </row>
    <row r="23" spans="2:11">
      <c r="B23">
        <v>0.60599999999999998</v>
      </c>
      <c r="C23">
        <v>0.51800000000000002</v>
      </c>
      <c r="F23">
        <v>0.65100000000000002</v>
      </c>
      <c r="G23">
        <v>0.93100000000000005</v>
      </c>
      <c r="J23">
        <v>1.4790000000000001</v>
      </c>
      <c r="K23">
        <v>1.702</v>
      </c>
    </row>
    <row r="24" spans="2:11">
      <c r="B24">
        <v>0.35599999999999998</v>
      </c>
      <c r="C24">
        <v>0.21299999999999999</v>
      </c>
      <c r="F24">
        <v>1.8069999999999999</v>
      </c>
      <c r="G24">
        <v>3.6960000000000002</v>
      </c>
      <c r="J24">
        <v>2.8490000000000002</v>
      </c>
      <c r="K24">
        <v>4.851</v>
      </c>
    </row>
    <row r="25" spans="2:11">
      <c r="B25">
        <v>0.39900000000000002</v>
      </c>
      <c r="C25">
        <v>0.17399999999999999</v>
      </c>
      <c r="F25">
        <v>1.5069999999999999</v>
      </c>
      <c r="G25">
        <v>4.7309999999999999</v>
      </c>
      <c r="J25">
        <v>2.9260000000000002</v>
      </c>
      <c r="K25">
        <v>6.2249999999999996</v>
      </c>
    </row>
    <row r="26" spans="2:11">
      <c r="B26">
        <v>0.59</v>
      </c>
      <c r="C26">
        <v>0.51800000000000002</v>
      </c>
      <c r="F26">
        <v>0.69499999999999995</v>
      </c>
      <c r="G26">
        <v>0.93100000000000005</v>
      </c>
      <c r="J26">
        <v>1.667</v>
      </c>
      <c r="K26">
        <v>1.702</v>
      </c>
    </row>
    <row r="27" spans="2:11">
      <c r="B27">
        <v>0.49099999999999999</v>
      </c>
      <c r="C27">
        <v>0.35</v>
      </c>
      <c r="F27">
        <v>1.036</v>
      </c>
      <c r="G27">
        <v>1.857</v>
      </c>
      <c r="J27">
        <v>2.2669999999999999</v>
      </c>
      <c r="K27">
        <v>4.8650000000000002</v>
      </c>
    </row>
    <row r="28" spans="2:11">
      <c r="B28">
        <v>0.35399999999999998</v>
      </c>
      <c r="C28">
        <v>0.34200000000000003</v>
      </c>
      <c r="F28">
        <v>1.8240000000000001</v>
      </c>
      <c r="G28">
        <v>1.9279999999999999</v>
      </c>
      <c r="J28">
        <v>3.347</v>
      </c>
      <c r="K28">
        <v>2.86</v>
      </c>
    </row>
    <row r="29" spans="2:11">
      <c r="B29">
        <v>0.23200000000000001</v>
      </c>
      <c r="C29">
        <v>0.51800000000000002</v>
      </c>
      <c r="F29">
        <v>3.302</v>
      </c>
      <c r="G29">
        <v>0.93100000000000005</v>
      </c>
      <c r="J29">
        <v>4.3330000000000002</v>
      </c>
      <c r="K29">
        <v>1.702</v>
      </c>
    </row>
    <row r="30" spans="2:11">
      <c r="B30">
        <v>0.53</v>
      </c>
      <c r="C30">
        <v>0.35</v>
      </c>
      <c r="F30">
        <v>0.88700000000000001</v>
      </c>
      <c r="G30">
        <v>1.857</v>
      </c>
      <c r="J30">
        <v>2.548</v>
      </c>
      <c r="K30">
        <v>4.8650000000000002</v>
      </c>
    </row>
    <row r="31" spans="2:11">
      <c r="B31">
        <v>0.44500000000000001</v>
      </c>
      <c r="C31">
        <v>0.34200000000000003</v>
      </c>
      <c r="F31">
        <v>1.248</v>
      </c>
      <c r="G31">
        <v>1.9279999999999999</v>
      </c>
      <c r="J31">
        <v>3.06</v>
      </c>
      <c r="K31">
        <v>2.86</v>
      </c>
    </row>
    <row r="32" spans="2:11">
      <c r="B32">
        <v>0.622</v>
      </c>
      <c r="C32">
        <v>0.191</v>
      </c>
      <c r="F32">
        <v>0.60699999999999998</v>
      </c>
      <c r="G32">
        <v>4.242</v>
      </c>
      <c r="J32">
        <v>0.97199999999999998</v>
      </c>
      <c r="K32">
        <v>8.07</v>
      </c>
    </row>
    <row r="33" spans="2:11">
      <c r="B33">
        <v>0.45400000000000001</v>
      </c>
      <c r="C33">
        <v>0.35899999999999999</v>
      </c>
      <c r="F33">
        <v>1.2010000000000001</v>
      </c>
      <c r="G33">
        <v>1.7849999999999999</v>
      </c>
      <c r="J33">
        <v>2.1720000000000002</v>
      </c>
      <c r="K33">
        <v>4.2389999999999999</v>
      </c>
    </row>
    <row r="34" spans="2:11">
      <c r="B34">
        <v>0.28999999999999998</v>
      </c>
      <c r="C34">
        <v>0.28199999999999997</v>
      </c>
      <c r="F34">
        <v>2.452</v>
      </c>
      <c r="G34">
        <v>2.5459999999999998</v>
      </c>
      <c r="J34">
        <v>4.5170000000000003</v>
      </c>
      <c r="K34">
        <v>3.9820000000000002</v>
      </c>
    </row>
    <row r="35" spans="2:11">
      <c r="B35">
        <v>0.35399999999999998</v>
      </c>
      <c r="C35">
        <v>0.32</v>
      </c>
      <c r="F35">
        <v>1.821</v>
      </c>
      <c r="G35">
        <v>2.1280000000000001</v>
      </c>
      <c r="J35">
        <v>3.161</v>
      </c>
      <c r="K35">
        <v>3.8610000000000002</v>
      </c>
    </row>
    <row r="36" spans="2:11">
      <c r="B36">
        <v>0.438</v>
      </c>
      <c r="C36">
        <v>0.28399999999999997</v>
      </c>
      <c r="F36">
        <v>1.2849999999999999</v>
      </c>
      <c r="G36">
        <v>2.5169999999999999</v>
      </c>
      <c r="J36">
        <v>1.9419999999999999</v>
      </c>
      <c r="K36">
        <v>4.6769999999999996</v>
      </c>
    </row>
    <row r="37" spans="2:11">
      <c r="B37">
        <v>0.318</v>
      </c>
      <c r="C37">
        <v>0.22500000000000001</v>
      </c>
      <c r="F37">
        <v>2.1469999999999998</v>
      </c>
      <c r="G37">
        <v>3.4529999999999998</v>
      </c>
      <c r="J37">
        <v>4.7750000000000004</v>
      </c>
      <c r="K37">
        <v>6.6609999999999996</v>
      </c>
    </row>
    <row r="38" spans="2:11">
      <c r="B38">
        <v>0.44</v>
      </c>
      <c r="C38">
        <v>0.21299999999999999</v>
      </c>
      <c r="F38">
        <v>1.272</v>
      </c>
      <c r="G38">
        <v>3.6970000000000001</v>
      </c>
      <c r="J38">
        <v>2.75</v>
      </c>
      <c r="K38">
        <v>6.0839999999999996</v>
      </c>
    </row>
    <row r="39" spans="2:11">
      <c r="B39">
        <v>0.66900000000000004</v>
      </c>
      <c r="C39">
        <v>0.254</v>
      </c>
      <c r="F39">
        <v>0.495</v>
      </c>
      <c r="G39">
        <v>2.9369999999999998</v>
      </c>
      <c r="J39">
        <v>0.93600000000000005</v>
      </c>
      <c r="K39">
        <v>6.1829999999999998</v>
      </c>
    </row>
    <row r="40" spans="2:11">
      <c r="B40">
        <v>0.48599999999999999</v>
      </c>
      <c r="C40">
        <v>0.27300000000000002</v>
      </c>
      <c r="F40">
        <v>1.056</v>
      </c>
      <c r="G40">
        <v>2.669</v>
      </c>
      <c r="J40">
        <v>1.603</v>
      </c>
      <c r="K40">
        <v>4.5339999999999998</v>
      </c>
    </row>
    <row r="41" spans="2:11">
      <c r="B41">
        <v>0.38700000000000001</v>
      </c>
      <c r="C41">
        <v>0.25800000000000001</v>
      </c>
      <c r="F41">
        <v>1.5820000000000001</v>
      </c>
      <c r="G41">
        <v>2.883</v>
      </c>
      <c r="J41">
        <v>3.31</v>
      </c>
      <c r="K41">
        <v>5.0309999999999997</v>
      </c>
    </row>
    <row r="42" spans="2:11">
      <c r="B42">
        <v>0.26600000000000001</v>
      </c>
      <c r="C42">
        <v>0.221</v>
      </c>
      <c r="F42">
        <v>2.7530000000000001</v>
      </c>
      <c r="G42">
        <v>3.5339999999999998</v>
      </c>
      <c r="J42">
        <v>3.7549999999999999</v>
      </c>
      <c r="K42">
        <v>4.1849999999999996</v>
      </c>
    </row>
    <row r="43" spans="2:11">
      <c r="B43">
        <v>0.33400000000000002</v>
      </c>
      <c r="C43">
        <v>0.21</v>
      </c>
      <c r="F43">
        <v>1.996</v>
      </c>
      <c r="G43">
        <v>3.7669999999999999</v>
      </c>
      <c r="J43">
        <v>3.0150000000000001</v>
      </c>
      <c r="K43">
        <v>5.8179999999999996</v>
      </c>
    </row>
    <row r="44" spans="2:11">
      <c r="B44">
        <v>0.72199999999999998</v>
      </c>
      <c r="C44">
        <v>0.215</v>
      </c>
      <c r="F44">
        <v>0.38600000000000001</v>
      </c>
      <c r="G44">
        <v>3.6469999999999998</v>
      </c>
      <c r="J44">
        <v>0.71799999999999997</v>
      </c>
      <c r="K44">
        <v>5.6319999999999997</v>
      </c>
    </row>
    <row r="45" spans="2:11">
      <c r="B45">
        <v>0.443</v>
      </c>
      <c r="C45">
        <v>0.23599999999999999</v>
      </c>
      <c r="F45">
        <v>1.256</v>
      </c>
      <c r="G45">
        <v>3.2440000000000002</v>
      </c>
      <c r="J45">
        <v>1.7450000000000001</v>
      </c>
      <c r="K45">
        <v>4.976</v>
      </c>
    </row>
    <row r="46" spans="2:11">
      <c r="B46">
        <v>0.56799999999999995</v>
      </c>
      <c r="C46">
        <v>0.215</v>
      </c>
      <c r="F46">
        <v>0.76200000000000001</v>
      </c>
      <c r="G46">
        <v>3.6480000000000001</v>
      </c>
      <c r="J46">
        <v>1.329</v>
      </c>
      <c r="K46">
        <v>4.9089999999999998</v>
      </c>
    </row>
    <row r="47" spans="2:11">
      <c r="B47">
        <v>0.60599999999999998</v>
      </c>
      <c r="C47">
        <v>0.23799999999999999</v>
      </c>
      <c r="F47">
        <v>0.64900000000000002</v>
      </c>
      <c r="G47">
        <v>3.1960000000000002</v>
      </c>
      <c r="J47">
        <v>0.86399999999999999</v>
      </c>
      <c r="K47">
        <v>4.1059999999999999</v>
      </c>
    </row>
    <row r="48" spans="2:11">
      <c r="B48">
        <v>0.72899999999999998</v>
      </c>
      <c r="C48">
        <v>0.29199999999999998</v>
      </c>
      <c r="F48">
        <v>0.371</v>
      </c>
      <c r="G48">
        <v>2.4220000000000002</v>
      </c>
      <c r="J48">
        <v>0.68500000000000005</v>
      </c>
      <c r="K48">
        <v>3.18</v>
      </c>
    </row>
    <row r="49" spans="2:11">
      <c r="B49">
        <v>0.6</v>
      </c>
      <c r="C49">
        <v>0.29799999999999999</v>
      </c>
      <c r="F49">
        <v>0.66600000000000004</v>
      </c>
      <c r="G49">
        <v>2.3530000000000002</v>
      </c>
      <c r="J49">
        <v>1.264</v>
      </c>
      <c r="K49">
        <v>3.4889999999999999</v>
      </c>
    </row>
    <row r="50" spans="2:11">
      <c r="B50">
        <v>0.6</v>
      </c>
      <c r="C50">
        <v>0.39500000000000002</v>
      </c>
      <c r="F50">
        <v>0.66600000000000004</v>
      </c>
      <c r="G50">
        <v>1.53</v>
      </c>
      <c r="J50">
        <v>1.264</v>
      </c>
      <c r="K50">
        <v>1.7669999999999999</v>
      </c>
    </row>
    <row r="51" spans="2:11">
      <c r="B51">
        <v>0.65700000000000003</v>
      </c>
      <c r="C51">
        <v>0.22900000000000001</v>
      </c>
      <c r="F51">
        <v>0.52300000000000002</v>
      </c>
      <c r="G51">
        <v>3.3660000000000001</v>
      </c>
      <c r="J51">
        <v>1.1040000000000001</v>
      </c>
      <c r="K51">
        <v>4.7089999999999996</v>
      </c>
    </row>
    <row r="52" spans="2:11">
      <c r="B52">
        <v>0.53600000000000003</v>
      </c>
      <c r="C52">
        <v>0.45500000000000002</v>
      </c>
      <c r="F52">
        <v>0.86699999999999999</v>
      </c>
      <c r="G52">
        <v>1.1990000000000001</v>
      </c>
      <c r="J52">
        <v>1.61</v>
      </c>
      <c r="K52">
        <v>2.1520000000000001</v>
      </c>
    </row>
    <row r="53" spans="2:11">
      <c r="B53">
        <v>0.58899999999999997</v>
      </c>
      <c r="C53">
        <v>0.45500000000000002</v>
      </c>
      <c r="F53">
        <v>0.69699999999999995</v>
      </c>
      <c r="G53">
        <v>1.1990000000000001</v>
      </c>
      <c r="J53">
        <v>1.3540000000000001</v>
      </c>
      <c r="K53">
        <v>2.1520000000000001</v>
      </c>
    </row>
    <row r="54" spans="2:11">
      <c r="B54">
        <v>0.56999999999999995</v>
      </c>
      <c r="C54">
        <v>0.56799999999999995</v>
      </c>
      <c r="F54">
        <v>0.754</v>
      </c>
      <c r="G54">
        <v>0.76</v>
      </c>
      <c r="J54">
        <v>1.26</v>
      </c>
      <c r="K54">
        <v>1.1439999999999999</v>
      </c>
    </row>
    <row r="55" spans="2:11">
      <c r="B55">
        <v>0.56299999999999994</v>
      </c>
      <c r="C55">
        <v>0.54900000000000004</v>
      </c>
      <c r="F55">
        <v>0.77500000000000002</v>
      </c>
      <c r="G55">
        <v>0.82099999999999995</v>
      </c>
      <c r="J55">
        <v>1.3049999999999999</v>
      </c>
      <c r="K55">
        <v>1.3340000000000001</v>
      </c>
    </row>
    <row r="56" spans="2:11">
      <c r="B56">
        <v>0.46500000000000002</v>
      </c>
      <c r="C56">
        <v>0.53100000000000003</v>
      </c>
      <c r="F56">
        <v>1.151</v>
      </c>
      <c r="G56">
        <v>0.88500000000000001</v>
      </c>
      <c r="J56">
        <v>2.375</v>
      </c>
      <c r="K56">
        <v>1.556</v>
      </c>
    </row>
    <row r="57" spans="2:11">
      <c r="B57">
        <v>0.56299999999999994</v>
      </c>
      <c r="C57">
        <v>0.78600000000000003</v>
      </c>
      <c r="F57">
        <v>0.77500000000000002</v>
      </c>
      <c r="G57">
        <v>0.27300000000000002</v>
      </c>
      <c r="J57">
        <v>1.381</v>
      </c>
      <c r="K57">
        <v>0.53500000000000003</v>
      </c>
    </row>
    <row r="58" spans="2:11">
      <c r="B58">
        <v>0.56499999999999995</v>
      </c>
      <c r="C58">
        <v>0.45200000000000001</v>
      </c>
      <c r="F58">
        <v>0.77100000000000002</v>
      </c>
      <c r="G58">
        <v>1.2130000000000001</v>
      </c>
      <c r="J58">
        <v>1.069</v>
      </c>
      <c r="K58">
        <v>2.0539999999999998</v>
      </c>
    </row>
    <row r="59" spans="2:11">
      <c r="B59">
        <v>0.53600000000000003</v>
      </c>
      <c r="C59">
        <v>0.54500000000000004</v>
      </c>
      <c r="F59">
        <v>0.86699999999999999</v>
      </c>
      <c r="G59">
        <v>0.83599999999999997</v>
      </c>
      <c r="J59">
        <v>1.61</v>
      </c>
      <c r="K59">
        <v>1.794</v>
      </c>
    </row>
    <row r="60" spans="2:11">
      <c r="B60">
        <v>0.56699999999999995</v>
      </c>
      <c r="C60">
        <v>0.5</v>
      </c>
      <c r="F60">
        <v>0.76300000000000001</v>
      </c>
      <c r="G60">
        <v>1.0009999999999999</v>
      </c>
      <c r="J60">
        <v>1.272</v>
      </c>
      <c r="K60">
        <v>1.7130000000000001</v>
      </c>
    </row>
    <row r="61" spans="2:11">
      <c r="B61">
        <v>0.50800000000000001</v>
      </c>
      <c r="C61">
        <v>0.42099999999999999</v>
      </c>
      <c r="F61">
        <v>0.97</v>
      </c>
      <c r="G61">
        <v>1.375</v>
      </c>
      <c r="J61">
        <v>1.236</v>
      </c>
      <c r="K61">
        <v>1.9830000000000001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73B0-933A-4D1D-B291-6F008CA49351}">
  <dimension ref="D1:Q61"/>
  <sheetViews>
    <sheetView topLeftCell="A55" zoomScale="85" zoomScaleNormal="85" workbookViewId="0">
      <selection activeCell="H109" sqref="H109"/>
    </sheetView>
  </sheetViews>
  <sheetFormatPr defaultRowHeight="15"/>
  <cols>
    <col min="5" max="6" width="20.28515625" bestFit="1" customWidth="1"/>
    <col min="9" max="9" width="20.85546875" bestFit="1" customWidth="1"/>
    <col min="10" max="10" width="21.140625" bestFit="1" customWidth="1"/>
    <col min="14" max="15" width="20.28515625" bestFit="1" customWidth="1"/>
    <col min="16" max="16" width="20.85546875" bestFit="1" customWidth="1"/>
    <col min="17" max="17" width="21.140625" bestFit="1" customWidth="1"/>
  </cols>
  <sheetData>
    <row r="1" spans="4:17">
      <c r="D1" s="4" t="s">
        <v>124</v>
      </c>
      <c r="E1" s="1" t="s">
        <v>135</v>
      </c>
      <c r="F1" s="1" t="s">
        <v>132</v>
      </c>
      <c r="H1" s="4" t="s">
        <v>124</v>
      </c>
      <c r="I1" s="1" t="s">
        <v>136</v>
      </c>
      <c r="J1" s="1" t="s">
        <v>133</v>
      </c>
      <c r="M1" s="4" t="s">
        <v>124</v>
      </c>
      <c r="N1" s="1" t="s">
        <v>135</v>
      </c>
      <c r="O1" s="1" t="s">
        <v>132</v>
      </c>
      <c r="P1" s="1" t="s">
        <v>136</v>
      </c>
      <c r="Q1" s="1" t="s">
        <v>133</v>
      </c>
    </row>
    <row r="2" spans="4:17">
      <c r="D2" s="2">
        <v>0.1</v>
      </c>
      <c r="E2">
        <v>0.55900000000000005</v>
      </c>
      <c r="F2">
        <v>0.41199999999999998</v>
      </c>
      <c r="H2" s="2">
        <v>0.1</v>
      </c>
      <c r="I2">
        <v>0.94499999999999995</v>
      </c>
      <c r="J2">
        <v>0.68700000000000006</v>
      </c>
      <c r="M2" s="2">
        <v>0.01</v>
      </c>
      <c r="N2">
        <v>0.55900000000000005</v>
      </c>
      <c r="O2">
        <v>0.41199999999999998</v>
      </c>
      <c r="P2">
        <v>0.94499999999999995</v>
      </c>
      <c r="Q2">
        <v>0.68700000000000006</v>
      </c>
    </row>
    <row r="3" spans="4:17">
      <c r="D3" s="2">
        <f>D2+0.01</f>
        <v>0.11</v>
      </c>
      <c r="E3">
        <v>0.67800000000000005</v>
      </c>
      <c r="F3">
        <v>0.68200000000000005</v>
      </c>
      <c r="H3" s="2">
        <f>H2+0.01</f>
        <v>0.11</v>
      </c>
      <c r="I3">
        <v>0.98799999999999999</v>
      </c>
      <c r="J3">
        <v>0.97699999999999998</v>
      </c>
      <c r="M3" s="2">
        <f>M2+0.05</f>
        <v>6.0000000000000005E-2</v>
      </c>
      <c r="N3">
        <v>0.67800000000000005</v>
      </c>
      <c r="O3">
        <v>0.68200000000000005</v>
      </c>
      <c r="P3">
        <v>0.98799999999999999</v>
      </c>
      <c r="Q3">
        <v>0.97699999999999998</v>
      </c>
    </row>
    <row r="4" spans="4:17">
      <c r="D4" s="2">
        <f t="shared" ref="D4:D35" si="0">D3+0.013</f>
        <v>0.123</v>
      </c>
      <c r="E4">
        <v>0.59699999999999998</v>
      </c>
      <c r="F4">
        <v>0.77300000000000002</v>
      </c>
      <c r="H4" s="2">
        <f t="shared" ref="H4:H35" si="1">H3+0.013</f>
        <v>0.123</v>
      </c>
      <c r="I4">
        <v>1.056</v>
      </c>
      <c r="J4">
        <v>1.1539999999999999</v>
      </c>
      <c r="M4" s="2">
        <f t="shared" ref="M4:M61" si="2">M3+0.05</f>
        <v>0.11000000000000001</v>
      </c>
      <c r="N4">
        <v>0.59699999999999998</v>
      </c>
      <c r="O4">
        <v>0.77300000000000002</v>
      </c>
      <c r="P4">
        <v>1.056</v>
      </c>
      <c r="Q4">
        <v>1.1539999999999999</v>
      </c>
    </row>
    <row r="5" spans="4:17">
      <c r="D5" s="2">
        <f t="shared" si="0"/>
        <v>0.13600000000000001</v>
      </c>
      <c r="E5">
        <v>0.61599999999999999</v>
      </c>
      <c r="F5">
        <v>0.28999999999999998</v>
      </c>
      <c r="H5" s="2">
        <f t="shared" si="1"/>
        <v>0.13600000000000001</v>
      </c>
      <c r="I5">
        <v>1.0209999999999999</v>
      </c>
      <c r="J5">
        <v>0.67200000000000004</v>
      </c>
      <c r="M5" s="2">
        <f t="shared" si="2"/>
        <v>0.16000000000000003</v>
      </c>
      <c r="N5">
        <v>0.61599999999999999</v>
      </c>
      <c r="O5">
        <v>0.28999999999999998</v>
      </c>
      <c r="P5">
        <v>1.0209999999999999</v>
      </c>
      <c r="Q5">
        <v>0.67200000000000004</v>
      </c>
    </row>
    <row r="6" spans="4:17">
      <c r="D6" s="2">
        <f t="shared" si="0"/>
        <v>0.14900000000000002</v>
      </c>
      <c r="E6">
        <v>0.55800000000000005</v>
      </c>
      <c r="F6">
        <v>0.504</v>
      </c>
      <c r="H6" s="2">
        <f t="shared" si="1"/>
        <v>0.14900000000000002</v>
      </c>
      <c r="I6">
        <v>1.006</v>
      </c>
      <c r="J6">
        <v>0.90200000000000002</v>
      </c>
      <c r="M6" s="2">
        <f t="shared" si="2"/>
        <v>0.21000000000000002</v>
      </c>
      <c r="N6">
        <v>0.55800000000000005</v>
      </c>
      <c r="O6">
        <v>0.504</v>
      </c>
      <c r="P6">
        <v>1.006</v>
      </c>
      <c r="Q6">
        <v>0.90200000000000002</v>
      </c>
    </row>
    <row r="7" spans="4:17">
      <c r="D7" s="2">
        <f t="shared" si="0"/>
        <v>0.16200000000000003</v>
      </c>
      <c r="E7">
        <v>0.65500000000000003</v>
      </c>
      <c r="F7">
        <v>0.38200000000000001</v>
      </c>
      <c r="H7" s="2">
        <f t="shared" si="1"/>
        <v>0.16200000000000003</v>
      </c>
      <c r="I7">
        <v>1.0089999999999999</v>
      </c>
      <c r="J7">
        <v>0.73099999999999998</v>
      </c>
      <c r="M7" s="2">
        <f t="shared" si="2"/>
        <v>0.26</v>
      </c>
      <c r="N7">
        <v>0.65500000000000003</v>
      </c>
      <c r="O7">
        <v>0.38200000000000001</v>
      </c>
      <c r="P7">
        <v>1.0089999999999999</v>
      </c>
      <c r="Q7">
        <v>0.73099999999999998</v>
      </c>
    </row>
    <row r="8" spans="4:17">
      <c r="D8" s="2">
        <f t="shared" si="0"/>
        <v>0.17500000000000004</v>
      </c>
      <c r="E8">
        <v>0.57699999999999996</v>
      </c>
      <c r="F8">
        <v>0.86199999999999999</v>
      </c>
      <c r="H8" s="2">
        <f t="shared" si="1"/>
        <v>0.17500000000000004</v>
      </c>
      <c r="I8">
        <v>1.022</v>
      </c>
      <c r="J8">
        <v>2.1659999999999999</v>
      </c>
      <c r="M8" s="2">
        <f t="shared" si="2"/>
        <v>0.31</v>
      </c>
      <c r="N8">
        <v>0.57699999999999996</v>
      </c>
      <c r="O8">
        <v>0.86199999999999999</v>
      </c>
      <c r="P8">
        <v>1.022</v>
      </c>
      <c r="Q8">
        <v>2.1659999999999999</v>
      </c>
    </row>
    <row r="9" spans="4:17">
      <c r="D9" s="2">
        <f t="shared" si="0"/>
        <v>0.18800000000000006</v>
      </c>
      <c r="E9">
        <v>0.53100000000000003</v>
      </c>
      <c r="F9">
        <v>0.85099999999999998</v>
      </c>
      <c r="H9" s="2">
        <f t="shared" si="1"/>
        <v>0.18800000000000006</v>
      </c>
      <c r="I9">
        <v>1.016</v>
      </c>
      <c r="J9">
        <v>1.738</v>
      </c>
      <c r="M9" s="2">
        <f t="shared" si="2"/>
        <v>0.36</v>
      </c>
      <c r="N9">
        <v>0.53100000000000003</v>
      </c>
      <c r="O9">
        <v>0.85099999999999998</v>
      </c>
      <c r="P9">
        <v>1.016</v>
      </c>
      <c r="Q9">
        <v>1.738</v>
      </c>
    </row>
    <row r="10" spans="4:17">
      <c r="D10" s="2">
        <f t="shared" si="0"/>
        <v>0.20100000000000007</v>
      </c>
      <c r="E10">
        <v>0.57199999999999995</v>
      </c>
      <c r="F10">
        <v>1.1000000000000001</v>
      </c>
      <c r="H10" s="2">
        <f t="shared" si="1"/>
        <v>0.20100000000000007</v>
      </c>
      <c r="I10">
        <v>0.93799999999999994</v>
      </c>
      <c r="J10">
        <v>2.4910000000000001</v>
      </c>
      <c r="M10" s="2">
        <f t="shared" si="2"/>
        <v>0.41</v>
      </c>
      <c r="N10">
        <v>0.57199999999999995</v>
      </c>
      <c r="O10">
        <v>1.1000000000000001</v>
      </c>
      <c r="P10">
        <v>0.93799999999999994</v>
      </c>
      <c r="Q10">
        <v>2.4910000000000001</v>
      </c>
    </row>
    <row r="11" spans="4:17">
      <c r="D11" s="2">
        <f t="shared" si="0"/>
        <v>0.21400000000000008</v>
      </c>
      <c r="E11">
        <v>0.70299999999999996</v>
      </c>
      <c r="F11">
        <v>1.1879999999999999</v>
      </c>
      <c r="H11" s="2">
        <f t="shared" si="1"/>
        <v>0.21400000000000008</v>
      </c>
      <c r="I11">
        <v>0.999</v>
      </c>
      <c r="J11">
        <v>2.5059999999999998</v>
      </c>
      <c r="M11" s="2">
        <f t="shared" si="2"/>
        <v>0.45999999999999996</v>
      </c>
      <c r="N11">
        <v>0.70299999999999996</v>
      </c>
      <c r="O11">
        <v>1.1879999999999999</v>
      </c>
      <c r="P11">
        <v>0.999</v>
      </c>
      <c r="Q11">
        <v>2.5059999999999998</v>
      </c>
    </row>
    <row r="12" spans="4:17">
      <c r="D12" s="2">
        <f t="shared" si="0"/>
        <v>0.22700000000000009</v>
      </c>
      <c r="E12">
        <v>0.48</v>
      </c>
      <c r="F12">
        <v>3.2879999999999998</v>
      </c>
      <c r="H12" s="2">
        <f t="shared" si="1"/>
        <v>0.22700000000000009</v>
      </c>
      <c r="I12">
        <v>0.79500000000000004</v>
      </c>
      <c r="J12">
        <v>7.0359999999999996</v>
      </c>
      <c r="M12" s="2">
        <f t="shared" si="2"/>
        <v>0.51</v>
      </c>
      <c r="N12">
        <v>0.48</v>
      </c>
      <c r="O12">
        <v>3.2879999999999998</v>
      </c>
      <c r="P12">
        <v>0.79500000000000004</v>
      </c>
      <c r="Q12">
        <v>7.0359999999999996</v>
      </c>
    </row>
    <row r="13" spans="4:17">
      <c r="D13" s="2">
        <f t="shared" si="0"/>
        <v>0.2400000000000001</v>
      </c>
      <c r="E13">
        <v>0.54200000000000004</v>
      </c>
      <c r="F13">
        <v>4.3259999999999996</v>
      </c>
      <c r="H13" s="2">
        <f t="shared" si="1"/>
        <v>0.2400000000000001</v>
      </c>
      <c r="I13">
        <v>1.181</v>
      </c>
      <c r="J13">
        <v>7.78</v>
      </c>
      <c r="M13" s="2">
        <f t="shared" si="2"/>
        <v>0.56000000000000005</v>
      </c>
      <c r="N13">
        <v>0.54200000000000004</v>
      </c>
      <c r="O13">
        <v>4.3259999999999996</v>
      </c>
      <c r="P13">
        <v>1.181</v>
      </c>
      <c r="Q13">
        <v>7.78</v>
      </c>
    </row>
    <row r="14" spans="4:17">
      <c r="D14" s="2">
        <f t="shared" si="0"/>
        <v>0.25300000000000011</v>
      </c>
      <c r="E14">
        <v>0.94699999999999995</v>
      </c>
      <c r="F14">
        <v>1.3080000000000001</v>
      </c>
      <c r="H14" s="2">
        <f t="shared" si="1"/>
        <v>0.25300000000000011</v>
      </c>
      <c r="I14">
        <v>1.4510000000000001</v>
      </c>
      <c r="J14">
        <v>1.716</v>
      </c>
      <c r="M14" s="2">
        <f t="shared" si="2"/>
        <v>0.6100000000000001</v>
      </c>
      <c r="N14">
        <v>0.94699999999999995</v>
      </c>
      <c r="O14">
        <v>1.3080000000000001</v>
      </c>
      <c r="P14">
        <v>1.4510000000000001</v>
      </c>
      <c r="Q14">
        <v>1.716</v>
      </c>
    </row>
    <row r="15" spans="4:17">
      <c r="D15" s="2">
        <f t="shared" si="0"/>
        <v>0.26600000000000013</v>
      </c>
      <c r="E15">
        <v>2.9129999999999998</v>
      </c>
      <c r="F15">
        <v>1.9950000000000001</v>
      </c>
      <c r="H15" s="2">
        <f t="shared" si="1"/>
        <v>0.26600000000000013</v>
      </c>
      <c r="I15">
        <v>4.5730000000000004</v>
      </c>
      <c r="J15">
        <v>3.7759999999999998</v>
      </c>
      <c r="M15" s="2">
        <f t="shared" si="2"/>
        <v>0.66000000000000014</v>
      </c>
      <c r="N15">
        <v>2.9129999999999998</v>
      </c>
      <c r="O15">
        <v>1.9950000000000001</v>
      </c>
      <c r="P15">
        <v>4.5730000000000004</v>
      </c>
      <c r="Q15">
        <v>3.7759999999999998</v>
      </c>
    </row>
    <row r="16" spans="4:17">
      <c r="D16" s="2">
        <f t="shared" si="0"/>
        <v>0.27900000000000014</v>
      </c>
      <c r="E16">
        <v>1.569</v>
      </c>
      <c r="F16">
        <v>1.17</v>
      </c>
      <c r="H16" s="2">
        <f t="shared" si="1"/>
        <v>0.27900000000000014</v>
      </c>
      <c r="I16">
        <v>3.1419999999999999</v>
      </c>
      <c r="J16">
        <v>2.3130000000000002</v>
      </c>
      <c r="M16" s="2">
        <f t="shared" si="2"/>
        <v>0.71000000000000019</v>
      </c>
      <c r="N16">
        <v>1.569</v>
      </c>
      <c r="O16">
        <v>1.17</v>
      </c>
      <c r="P16">
        <v>3.1419999999999999</v>
      </c>
      <c r="Q16">
        <v>2.3130000000000002</v>
      </c>
    </row>
    <row r="17" spans="4:17">
      <c r="D17" s="2">
        <f t="shared" si="0"/>
        <v>0.29200000000000015</v>
      </c>
      <c r="E17">
        <v>1.087</v>
      </c>
      <c r="F17">
        <v>1.3080000000000001</v>
      </c>
      <c r="H17" s="2">
        <f t="shared" si="1"/>
        <v>0.29200000000000015</v>
      </c>
      <c r="I17">
        <v>2.569</v>
      </c>
      <c r="J17">
        <v>1.716</v>
      </c>
      <c r="M17" s="2">
        <f t="shared" si="2"/>
        <v>0.76000000000000023</v>
      </c>
      <c r="N17">
        <v>1.087</v>
      </c>
      <c r="O17">
        <v>1.3080000000000001</v>
      </c>
      <c r="P17">
        <v>2.569</v>
      </c>
      <c r="Q17">
        <v>1.716</v>
      </c>
    </row>
    <row r="18" spans="4:17">
      <c r="D18" s="2">
        <f t="shared" si="0"/>
        <v>0.30500000000000016</v>
      </c>
      <c r="E18">
        <v>0.752</v>
      </c>
      <c r="F18">
        <v>3.3879999999999999</v>
      </c>
      <c r="H18" s="2">
        <f t="shared" si="1"/>
        <v>0.30500000000000016</v>
      </c>
      <c r="I18">
        <v>2.2250000000000001</v>
      </c>
      <c r="J18">
        <v>6.1609999999999996</v>
      </c>
      <c r="M18" s="2">
        <f t="shared" si="2"/>
        <v>0.81000000000000028</v>
      </c>
      <c r="N18">
        <v>0.752</v>
      </c>
      <c r="O18">
        <v>3.3879999999999999</v>
      </c>
      <c r="P18">
        <v>2.2250000000000001</v>
      </c>
      <c r="Q18">
        <v>6.1609999999999996</v>
      </c>
    </row>
    <row r="19" spans="4:17">
      <c r="D19" s="2">
        <f t="shared" si="0"/>
        <v>0.31800000000000017</v>
      </c>
      <c r="E19">
        <v>1.204</v>
      </c>
      <c r="F19">
        <v>3.2879999999999998</v>
      </c>
      <c r="H19" s="2">
        <f t="shared" si="1"/>
        <v>0.31800000000000017</v>
      </c>
      <c r="I19">
        <v>3.2650000000000001</v>
      </c>
      <c r="J19">
        <v>7.0359999999999996</v>
      </c>
      <c r="M19" s="2">
        <f t="shared" si="2"/>
        <v>0.86000000000000032</v>
      </c>
      <c r="N19">
        <v>1.204</v>
      </c>
      <c r="O19">
        <v>3.2879999999999998</v>
      </c>
      <c r="P19">
        <v>3.2650000000000001</v>
      </c>
      <c r="Q19">
        <v>7.0359999999999996</v>
      </c>
    </row>
    <row r="20" spans="4:17">
      <c r="D20" s="2">
        <f t="shared" si="0"/>
        <v>0.33100000000000018</v>
      </c>
      <c r="E20">
        <v>1.262</v>
      </c>
      <c r="F20">
        <v>4.6360000000000001</v>
      </c>
      <c r="H20" s="2">
        <f t="shared" si="1"/>
        <v>0.33100000000000018</v>
      </c>
      <c r="I20">
        <v>2.121</v>
      </c>
      <c r="J20">
        <v>8.173</v>
      </c>
      <c r="M20" s="2">
        <f t="shared" si="2"/>
        <v>0.91000000000000036</v>
      </c>
      <c r="N20">
        <v>1.262</v>
      </c>
      <c r="O20">
        <v>4.6360000000000001</v>
      </c>
      <c r="P20">
        <v>2.121</v>
      </c>
      <c r="Q20">
        <v>8.173</v>
      </c>
    </row>
    <row r="21" spans="4:17">
      <c r="D21" s="2">
        <f t="shared" si="0"/>
        <v>0.34400000000000019</v>
      </c>
      <c r="E21">
        <v>0.88300000000000001</v>
      </c>
      <c r="F21">
        <v>3.101</v>
      </c>
      <c r="H21" s="2">
        <f t="shared" si="1"/>
        <v>0.34400000000000019</v>
      </c>
      <c r="I21">
        <v>1.931</v>
      </c>
      <c r="J21">
        <v>8.7750000000000004</v>
      </c>
      <c r="M21" s="2">
        <f t="shared" si="2"/>
        <v>0.96000000000000041</v>
      </c>
      <c r="N21">
        <v>0.88300000000000001</v>
      </c>
      <c r="O21">
        <v>3.101</v>
      </c>
      <c r="P21">
        <v>1.931</v>
      </c>
      <c r="Q21">
        <v>8.7750000000000004</v>
      </c>
    </row>
    <row r="22" spans="4:17">
      <c r="D22" s="2">
        <f t="shared" si="0"/>
        <v>0.35700000000000021</v>
      </c>
      <c r="E22">
        <v>0.71499999999999997</v>
      </c>
      <c r="F22">
        <v>4.7309999999999999</v>
      </c>
      <c r="H22" s="2">
        <f t="shared" si="1"/>
        <v>0.35700000000000021</v>
      </c>
      <c r="I22">
        <v>1.42</v>
      </c>
      <c r="J22">
        <v>6.2249999999999996</v>
      </c>
      <c r="M22" s="2">
        <f t="shared" si="2"/>
        <v>1.0100000000000005</v>
      </c>
      <c r="N22">
        <v>0.71499999999999997</v>
      </c>
      <c r="O22">
        <v>4.7309999999999999</v>
      </c>
      <c r="P22">
        <v>1.42</v>
      </c>
      <c r="Q22">
        <v>6.2249999999999996</v>
      </c>
    </row>
    <row r="23" spans="4:17">
      <c r="D23" s="2">
        <f t="shared" si="0"/>
        <v>0.37000000000000022</v>
      </c>
      <c r="E23">
        <v>0.65100000000000002</v>
      </c>
      <c r="F23">
        <v>0.93100000000000005</v>
      </c>
      <c r="H23" s="2">
        <f t="shared" si="1"/>
        <v>0.37000000000000022</v>
      </c>
      <c r="I23">
        <v>1.4790000000000001</v>
      </c>
      <c r="J23">
        <v>1.702</v>
      </c>
      <c r="M23" s="2">
        <f t="shared" si="2"/>
        <v>1.0600000000000005</v>
      </c>
      <c r="N23">
        <v>0.65100000000000002</v>
      </c>
      <c r="O23">
        <v>0.93100000000000005</v>
      </c>
      <c r="P23">
        <v>1.4790000000000001</v>
      </c>
      <c r="Q23">
        <v>1.702</v>
      </c>
    </row>
    <row r="24" spans="4:17">
      <c r="D24" s="2">
        <f t="shared" si="0"/>
        <v>0.38300000000000023</v>
      </c>
      <c r="E24">
        <v>1.8069999999999999</v>
      </c>
      <c r="F24">
        <v>3.6960000000000002</v>
      </c>
      <c r="H24" s="2">
        <f t="shared" si="1"/>
        <v>0.38300000000000023</v>
      </c>
      <c r="I24">
        <v>2.8490000000000002</v>
      </c>
      <c r="J24">
        <v>4.851</v>
      </c>
      <c r="M24" s="2">
        <f t="shared" si="2"/>
        <v>1.1100000000000005</v>
      </c>
      <c r="N24">
        <v>1.8069999999999999</v>
      </c>
      <c r="O24">
        <v>3.6960000000000002</v>
      </c>
      <c r="P24">
        <v>2.8490000000000002</v>
      </c>
      <c r="Q24">
        <v>4.851</v>
      </c>
    </row>
    <row r="25" spans="4:17">
      <c r="D25" s="2">
        <f t="shared" si="0"/>
        <v>0.39600000000000024</v>
      </c>
      <c r="E25">
        <v>1.5069999999999999</v>
      </c>
      <c r="F25">
        <v>4.7309999999999999</v>
      </c>
      <c r="H25" s="2">
        <f t="shared" si="1"/>
        <v>0.39600000000000024</v>
      </c>
      <c r="I25">
        <v>2.9260000000000002</v>
      </c>
      <c r="J25">
        <v>6.2249999999999996</v>
      </c>
      <c r="M25" s="2">
        <f t="shared" si="2"/>
        <v>1.1600000000000006</v>
      </c>
      <c r="N25">
        <v>1.5069999999999999</v>
      </c>
      <c r="O25">
        <v>4.7309999999999999</v>
      </c>
      <c r="P25">
        <v>2.9260000000000002</v>
      </c>
      <c r="Q25">
        <v>6.2249999999999996</v>
      </c>
    </row>
    <row r="26" spans="4:17">
      <c r="D26" s="2">
        <f t="shared" si="0"/>
        <v>0.40900000000000025</v>
      </c>
      <c r="E26">
        <v>0.69499999999999995</v>
      </c>
      <c r="F26">
        <v>0.93100000000000005</v>
      </c>
      <c r="H26" s="2">
        <f t="shared" si="1"/>
        <v>0.40900000000000025</v>
      </c>
      <c r="I26">
        <v>1.667</v>
      </c>
      <c r="J26">
        <v>1.702</v>
      </c>
      <c r="M26" s="2">
        <f t="shared" si="2"/>
        <v>1.2100000000000006</v>
      </c>
      <c r="N26">
        <v>0.69499999999999995</v>
      </c>
      <c r="O26">
        <v>0.93100000000000005</v>
      </c>
      <c r="P26">
        <v>1.667</v>
      </c>
      <c r="Q26">
        <v>1.702</v>
      </c>
    </row>
    <row r="27" spans="4:17">
      <c r="D27" s="2">
        <f t="shared" si="0"/>
        <v>0.42200000000000026</v>
      </c>
      <c r="E27">
        <v>1.036</v>
      </c>
      <c r="F27">
        <v>1.857</v>
      </c>
      <c r="H27" s="2">
        <f t="shared" si="1"/>
        <v>0.42200000000000026</v>
      </c>
      <c r="I27">
        <v>2.2669999999999999</v>
      </c>
      <c r="J27">
        <v>4.8650000000000002</v>
      </c>
      <c r="M27" s="2">
        <f t="shared" si="2"/>
        <v>1.2600000000000007</v>
      </c>
      <c r="N27">
        <v>1.036</v>
      </c>
      <c r="O27">
        <v>1.857</v>
      </c>
      <c r="P27">
        <v>2.2669999999999999</v>
      </c>
      <c r="Q27">
        <v>4.8650000000000002</v>
      </c>
    </row>
    <row r="28" spans="4:17">
      <c r="D28" s="2">
        <f t="shared" si="0"/>
        <v>0.43500000000000028</v>
      </c>
      <c r="E28">
        <v>1.8240000000000001</v>
      </c>
      <c r="F28">
        <v>1.9279999999999999</v>
      </c>
      <c r="H28" s="2">
        <f t="shared" si="1"/>
        <v>0.43500000000000028</v>
      </c>
      <c r="I28">
        <v>3.347</v>
      </c>
      <c r="J28">
        <v>2.86</v>
      </c>
      <c r="M28" s="2">
        <f t="shared" si="2"/>
        <v>1.3100000000000007</v>
      </c>
      <c r="N28">
        <v>1.8240000000000001</v>
      </c>
      <c r="O28">
        <v>1.9279999999999999</v>
      </c>
      <c r="P28">
        <v>3.347</v>
      </c>
      <c r="Q28">
        <v>2.86</v>
      </c>
    </row>
    <row r="29" spans="4:17">
      <c r="D29" s="2">
        <f t="shared" si="0"/>
        <v>0.44800000000000029</v>
      </c>
      <c r="E29">
        <v>3.302</v>
      </c>
      <c r="F29">
        <v>0.93100000000000005</v>
      </c>
      <c r="H29" s="2">
        <f t="shared" si="1"/>
        <v>0.44800000000000029</v>
      </c>
      <c r="I29">
        <v>4.3330000000000002</v>
      </c>
      <c r="J29">
        <v>1.702</v>
      </c>
      <c r="M29" s="2">
        <f t="shared" si="2"/>
        <v>1.3600000000000008</v>
      </c>
      <c r="N29">
        <v>3.302</v>
      </c>
      <c r="O29">
        <v>0.93100000000000005</v>
      </c>
      <c r="P29">
        <v>4.3330000000000002</v>
      </c>
      <c r="Q29">
        <v>1.702</v>
      </c>
    </row>
    <row r="30" spans="4:17">
      <c r="D30" s="2">
        <f t="shared" si="0"/>
        <v>0.4610000000000003</v>
      </c>
      <c r="E30">
        <v>0.88700000000000001</v>
      </c>
      <c r="F30">
        <v>1.857</v>
      </c>
      <c r="H30" s="2">
        <f t="shared" si="1"/>
        <v>0.4610000000000003</v>
      </c>
      <c r="I30">
        <v>2.548</v>
      </c>
      <c r="J30">
        <v>4.8650000000000002</v>
      </c>
      <c r="M30" s="2">
        <f t="shared" si="2"/>
        <v>1.4100000000000008</v>
      </c>
      <c r="N30">
        <v>0.88700000000000001</v>
      </c>
      <c r="O30">
        <v>1.857</v>
      </c>
      <c r="P30">
        <v>2.548</v>
      </c>
      <c r="Q30">
        <v>4.8650000000000002</v>
      </c>
    </row>
    <row r="31" spans="4:17">
      <c r="D31" s="2">
        <f t="shared" si="0"/>
        <v>0.47400000000000031</v>
      </c>
      <c r="E31">
        <v>1.248</v>
      </c>
      <c r="F31">
        <v>1.9279999999999999</v>
      </c>
      <c r="H31" s="2">
        <f t="shared" si="1"/>
        <v>0.47400000000000031</v>
      </c>
      <c r="I31">
        <v>3.06</v>
      </c>
      <c r="J31">
        <v>2.86</v>
      </c>
      <c r="M31" s="2">
        <f t="shared" si="2"/>
        <v>1.4600000000000009</v>
      </c>
      <c r="N31">
        <v>1.248</v>
      </c>
      <c r="O31">
        <v>1.9279999999999999</v>
      </c>
      <c r="P31">
        <v>3.06</v>
      </c>
      <c r="Q31">
        <v>2.86</v>
      </c>
    </row>
    <row r="32" spans="4:17">
      <c r="D32" s="2">
        <f t="shared" si="0"/>
        <v>0.48700000000000032</v>
      </c>
      <c r="E32">
        <v>0.60699999999999998</v>
      </c>
      <c r="F32">
        <v>4.242</v>
      </c>
      <c r="H32" s="2">
        <f t="shared" si="1"/>
        <v>0.48700000000000032</v>
      </c>
      <c r="I32">
        <v>0.97199999999999998</v>
      </c>
      <c r="J32">
        <v>8.07</v>
      </c>
      <c r="M32" s="2">
        <f t="shared" si="2"/>
        <v>1.5100000000000009</v>
      </c>
      <c r="N32">
        <v>0.60699999999999998</v>
      </c>
      <c r="O32">
        <v>4.242</v>
      </c>
      <c r="P32">
        <v>0.97199999999999998</v>
      </c>
      <c r="Q32">
        <v>8.07</v>
      </c>
    </row>
    <row r="33" spans="4:17">
      <c r="D33" s="2">
        <f t="shared" si="0"/>
        <v>0.50000000000000033</v>
      </c>
      <c r="E33">
        <v>1.2010000000000001</v>
      </c>
      <c r="F33">
        <v>1.7849999999999999</v>
      </c>
      <c r="H33" s="2">
        <f t="shared" si="1"/>
        <v>0.50000000000000033</v>
      </c>
      <c r="I33">
        <v>2.1720000000000002</v>
      </c>
      <c r="J33">
        <v>4.2389999999999999</v>
      </c>
      <c r="M33" s="2">
        <f t="shared" si="2"/>
        <v>1.5600000000000009</v>
      </c>
      <c r="N33">
        <v>1.2010000000000001</v>
      </c>
      <c r="O33">
        <v>1.7849999999999999</v>
      </c>
      <c r="P33">
        <v>2.1720000000000002</v>
      </c>
      <c r="Q33">
        <v>4.2389999999999999</v>
      </c>
    </row>
    <row r="34" spans="4:17">
      <c r="D34" s="2">
        <f t="shared" si="0"/>
        <v>0.51300000000000034</v>
      </c>
      <c r="E34">
        <v>2.452</v>
      </c>
      <c r="F34">
        <v>2.5459999999999998</v>
      </c>
      <c r="H34" s="2">
        <f t="shared" si="1"/>
        <v>0.51300000000000034</v>
      </c>
      <c r="I34">
        <v>4.5170000000000003</v>
      </c>
      <c r="J34">
        <v>3.9820000000000002</v>
      </c>
      <c r="M34" s="2">
        <f t="shared" si="2"/>
        <v>1.610000000000001</v>
      </c>
      <c r="N34">
        <v>2.452</v>
      </c>
      <c r="O34">
        <v>2.5459999999999998</v>
      </c>
      <c r="P34">
        <v>4.5170000000000003</v>
      </c>
      <c r="Q34">
        <v>3.9820000000000002</v>
      </c>
    </row>
    <row r="35" spans="4:17">
      <c r="D35" s="2">
        <f t="shared" si="0"/>
        <v>0.52600000000000036</v>
      </c>
      <c r="E35">
        <v>1.821</v>
      </c>
      <c r="F35">
        <v>2.1280000000000001</v>
      </c>
      <c r="H35" s="2">
        <f t="shared" si="1"/>
        <v>0.52600000000000036</v>
      </c>
      <c r="I35">
        <v>3.161</v>
      </c>
      <c r="J35">
        <v>3.8610000000000002</v>
      </c>
      <c r="M35" s="2">
        <f t="shared" si="2"/>
        <v>1.660000000000001</v>
      </c>
      <c r="N35">
        <v>1.821</v>
      </c>
      <c r="O35">
        <v>2.1280000000000001</v>
      </c>
      <c r="P35">
        <v>3.161</v>
      </c>
      <c r="Q35">
        <v>3.8610000000000002</v>
      </c>
    </row>
    <row r="36" spans="4:17">
      <c r="D36" s="2">
        <f t="shared" ref="D36:D61" si="3">D35+0.013</f>
        <v>0.53900000000000037</v>
      </c>
      <c r="E36">
        <v>1.2849999999999999</v>
      </c>
      <c r="F36">
        <v>2.5169999999999999</v>
      </c>
      <c r="H36" s="2">
        <f t="shared" ref="H36:H61" si="4">H35+0.013</f>
        <v>0.53900000000000037</v>
      </c>
      <c r="I36">
        <v>1.9419999999999999</v>
      </c>
      <c r="J36">
        <v>4.6769999999999996</v>
      </c>
      <c r="M36" s="2">
        <f t="shared" si="2"/>
        <v>1.7100000000000011</v>
      </c>
      <c r="N36">
        <v>1.2849999999999999</v>
      </c>
      <c r="O36">
        <v>2.5169999999999999</v>
      </c>
      <c r="P36">
        <v>1.9419999999999999</v>
      </c>
      <c r="Q36">
        <v>4.6769999999999996</v>
      </c>
    </row>
    <row r="37" spans="4:17">
      <c r="D37" s="2">
        <f t="shared" si="3"/>
        <v>0.55200000000000038</v>
      </c>
      <c r="E37">
        <v>2.1469999999999998</v>
      </c>
      <c r="F37">
        <v>3.4529999999999998</v>
      </c>
      <c r="H37" s="2">
        <f t="shared" si="4"/>
        <v>0.55200000000000038</v>
      </c>
      <c r="I37">
        <v>4.7750000000000004</v>
      </c>
      <c r="J37">
        <v>6.6609999999999996</v>
      </c>
      <c r="M37" s="2">
        <f t="shared" si="2"/>
        <v>1.7600000000000011</v>
      </c>
      <c r="N37">
        <v>2.1469999999999998</v>
      </c>
      <c r="O37">
        <v>3.4529999999999998</v>
      </c>
      <c r="P37">
        <v>4.7750000000000004</v>
      </c>
      <c r="Q37">
        <v>6.6609999999999996</v>
      </c>
    </row>
    <row r="38" spans="4:17">
      <c r="D38" s="2">
        <f t="shared" si="3"/>
        <v>0.56500000000000039</v>
      </c>
      <c r="E38">
        <v>1.272</v>
      </c>
      <c r="F38">
        <v>3.6970000000000001</v>
      </c>
      <c r="H38" s="2">
        <f t="shared" si="4"/>
        <v>0.56500000000000039</v>
      </c>
      <c r="I38">
        <v>2.75</v>
      </c>
      <c r="J38">
        <v>6.0839999999999996</v>
      </c>
      <c r="M38" s="2">
        <f t="shared" si="2"/>
        <v>1.8100000000000012</v>
      </c>
      <c r="N38">
        <v>1.272</v>
      </c>
      <c r="O38">
        <v>3.6970000000000001</v>
      </c>
      <c r="P38">
        <v>2.75</v>
      </c>
      <c r="Q38">
        <v>6.0839999999999996</v>
      </c>
    </row>
    <row r="39" spans="4:17">
      <c r="D39" s="2">
        <f t="shared" si="3"/>
        <v>0.5780000000000004</v>
      </c>
      <c r="E39">
        <v>0.495</v>
      </c>
      <c r="F39">
        <v>2.9369999999999998</v>
      </c>
      <c r="H39" s="2">
        <f t="shared" si="4"/>
        <v>0.5780000000000004</v>
      </c>
      <c r="I39">
        <v>0.93600000000000005</v>
      </c>
      <c r="J39">
        <v>6.1829999999999998</v>
      </c>
      <c r="M39" s="2">
        <f t="shared" si="2"/>
        <v>1.8600000000000012</v>
      </c>
      <c r="N39">
        <v>0.495</v>
      </c>
      <c r="O39">
        <v>2.9369999999999998</v>
      </c>
      <c r="P39">
        <v>0.93600000000000005</v>
      </c>
      <c r="Q39">
        <v>6.1829999999999998</v>
      </c>
    </row>
    <row r="40" spans="4:17">
      <c r="D40" s="2">
        <f t="shared" si="3"/>
        <v>0.59100000000000041</v>
      </c>
      <c r="E40">
        <v>1.056</v>
      </c>
      <c r="F40">
        <v>2.669</v>
      </c>
      <c r="H40" s="2">
        <f t="shared" si="4"/>
        <v>0.59100000000000041</v>
      </c>
      <c r="I40">
        <v>1.603</v>
      </c>
      <c r="J40">
        <v>4.5339999999999998</v>
      </c>
      <c r="M40" s="2">
        <f t="shared" si="2"/>
        <v>1.9100000000000013</v>
      </c>
      <c r="N40">
        <v>1.056</v>
      </c>
      <c r="O40">
        <v>2.669</v>
      </c>
      <c r="P40">
        <v>1.603</v>
      </c>
      <c r="Q40">
        <v>4.5339999999999998</v>
      </c>
    </row>
    <row r="41" spans="4:17">
      <c r="D41" s="2">
        <f t="shared" si="3"/>
        <v>0.60400000000000043</v>
      </c>
      <c r="E41">
        <v>1.5820000000000001</v>
      </c>
      <c r="F41">
        <v>2.883</v>
      </c>
      <c r="H41" s="2">
        <f t="shared" si="4"/>
        <v>0.60400000000000043</v>
      </c>
      <c r="I41">
        <v>3.31</v>
      </c>
      <c r="J41">
        <v>5.0309999999999997</v>
      </c>
      <c r="M41" s="2">
        <f t="shared" si="2"/>
        <v>1.9600000000000013</v>
      </c>
      <c r="N41">
        <v>1.5820000000000001</v>
      </c>
      <c r="O41">
        <v>2.883</v>
      </c>
      <c r="P41">
        <v>3.31</v>
      </c>
      <c r="Q41">
        <v>5.0309999999999997</v>
      </c>
    </row>
    <row r="42" spans="4:17">
      <c r="D42" s="2">
        <f t="shared" si="3"/>
        <v>0.61700000000000044</v>
      </c>
      <c r="E42">
        <v>2.7530000000000001</v>
      </c>
      <c r="F42">
        <v>3.5339999999999998</v>
      </c>
      <c r="H42" s="2">
        <f t="shared" si="4"/>
        <v>0.61700000000000044</v>
      </c>
      <c r="I42">
        <v>3.7549999999999999</v>
      </c>
      <c r="J42">
        <v>4.1849999999999996</v>
      </c>
      <c r="M42" s="2">
        <f t="shared" si="2"/>
        <v>2.0100000000000011</v>
      </c>
      <c r="N42">
        <v>2.7530000000000001</v>
      </c>
      <c r="O42">
        <v>3.5339999999999998</v>
      </c>
      <c r="P42">
        <v>3.7549999999999999</v>
      </c>
      <c r="Q42">
        <v>4.1849999999999996</v>
      </c>
    </row>
    <row r="43" spans="4:17">
      <c r="D43" s="2">
        <f t="shared" si="3"/>
        <v>0.63000000000000045</v>
      </c>
      <c r="E43">
        <v>1.996</v>
      </c>
      <c r="F43">
        <v>3.7669999999999999</v>
      </c>
      <c r="H43" s="2">
        <f t="shared" si="4"/>
        <v>0.63000000000000045</v>
      </c>
      <c r="I43">
        <v>3.0150000000000001</v>
      </c>
      <c r="J43">
        <v>5.8179999999999996</v>
      </c>
      <c r="M43" s="2">
        <f t="shared" si="2"/>
        <v>2.0600000000000009</v>
      </c>
      <c r="N43">
        <v>1.996</v>
      </c>
      <c r="O43">
        <v>3.7669999999999999</v>
      </c>
      <c r="P43">
        <v>3.0150000000000001</v>
      </c>
      <c r="Q43">
        <v>5.8179999999999996</v>
      </c>
    </row>
    <row r="44" spans="4:17">
      <c r="D44" s="2">
        <f t="shared" si="3"/>
        <v>0.64300000000000046</v>
      </c>
      <c r="E44">
        <v>0.38600000000000001</v>
      </c>
      <c r="F44">
        <v>3.6469999999999998</v>
      </c>
      <c r="H44" s="2">
        <f t="shared" si="4"/>
        <v>0.64300000000000046</v>
      </c>
      <c r="I44">
        <v>0.71799999999999997</v>
      </c>
      <c r="J44">
        <v>5.6319999999999997</v>
      </c>
      <c r="M44" s="2">
        <f t="shared" si="2"/>
        <v>2.1100000000000008</v>
      </c>
      <c r="N44">
        <v>0.38600000000000001</v>
      </c>
      <c r="O44">
        <v>3.6469999999999998</v>
      </c>
      <c r="P44">
        <v>0.71799999999999997</v>
      </c>
      <c r="Q44">
        <v>5.6319999999999997</v>
      </c>
    </row>
    <row r="45" spans="4:17">
      <c r="D45" s="2">
        <f t="shared" si="3"/>
        <v>0.65600000000000047</v>
      </c>
      <c r="E45">
        <v>1.256</v>
      </c>
      <c r="F45">
        <v>3.2440000000000002</v>
      </c>
      <c r="H45" s="2">
        <f t="shared" si="4"/>
        <v>0.65600000000000047</v>
      </c>
      <c r="I45">
        <v>1.7450000000000001</v>
      </c>
      <c r="J45">
        <v>4.976</v>
      </c>
      <c r="M45" s="2">
        <f t="shared" si="2"/>
        <v>2.1600000000000006</v>
      </c>
      <c r="N45">
        <v>1.256</v>
      </c>
      <c r="O45">
        <v>3.2440000000000002</v>
      </c>
      <c r="P45">
        <v>1.7450000000000001</v>
      </c>
      <c r="Q45">
        <v>4.976</v>
      </c>
    </row>
    <row r="46" spans="4:17">
      <c r="D46" s="2">
        <f t="shared" si="3"/>
        <v>0.66900000000000048</v>
      </c>
      <c r="E46">
        <v>0.76200000000000001</v>
      </c>
      <c r="F46">
        <v>3.6480000000000001</v>
      </c>
      <c r="H46" s="2">
        <f t="shared" si="4"/>
        <v>0.66900000000000048</v>
      </c>
      <c r="I46">
        <v>1.329</v>
      </c>
      <c r="J46">
        <v>4.9089999999999998</v>
      </c>
      <c r="M46" s="2">
        <f t="shared" si="2"/>
        <v>2.2100000000000004</v>
      </c>
      <c r="N46">
        <v>0.76200000000000001</v>
      </c>
      <c r="O46">
        <v>3.6480000000000001</v>
      </c>
      <c r="P46">
        <v>1.329</v>
      </c>
      <c r="Q46">
        <v>4.9089999999999998</v>
      </c>
    </row>
    <row r="47" spans="4:17">
      <c r="D47" s="2">
        <f t="shared" si="3"/>
        <v>0.68200000000000049</v>
      </c>
      <c r="E47">
        <v>0.64900000000000002</v>
      </c>
      <c r="F47">
        <v>3.1960000000000002</v>
      </c>
      <c r="H47" s="2">
        <f t="shared" si="4"/>
        <v>0.68200000000000049</v>
      </c>
      <c r="I47">
        <v>0.86399999999999999</v>
      </c>
      <c r="J47">
        <v>4.1059999999999999</v>
      </c>
      <c r="M47" s="2">
        <f t="shared" si="2"/>
        <v>2.2600000000000002</v>
      </c>
      <c r="N47">
        <v>0.64900000000000002</v>
      </c>
      <c r="O47">
        <v>3.1960000000000002</v>
      </c>
      <c r="P47">
        <v>0.86399999999999999</v>
      </c>
      <c r="Q47">
        <v>4.1059999999999999</v>
      </c>
    </row>
    <row r="48" spans="4:17">
      <c r="D48" s="2">
        <f t="shared" si="3"/>
        <v>0.69500000000000051</v>
      </c>
      <c r="E48">
        <v>0.371</v>
      </c>
      <c r="F48">
        <v>2.4220000000000002</v>
      </c>
      <c r="H48" s="2">
        <f t="shared" si="4"/>
        <v>0.69500000000000051</v>
      </c>
      <c r="I48">
        <v>0.68500000000000005</v>
      </c>
      <c r="J48">
        <v>3.18</v>
      </c>
      <c r="M48" s="2">
        <f t="shared" si="2"/>
        <v>2.31</v>
      </c>
      <c r="N48">
        <v>0.371</v>
      </c>
      <c r="O48">
        <v>2.4220000000000002</v>
      </c>
      <c r="P48">
        <v>0.68500000000000005</v>
      </c>
      <c r="Q48">
        <v>3.18</v>
      </c>
    </row>
    <row r="49" spans="4:17">
      <c r="D49" s="2">
        <f t="shared" si="3"/>
        <v>0.70800000000000052</v>
      </c>
      <c r="E49">
        <v>0.66600000000000004</v>
      </c>
      <c r="F49">
        <v>2.3530000000000002</v>
      </c>
      <c r="H49" s="2">
        <f t="shared" si="4"/>
        <v>0.70800000000000052</v>
      </c>
      <c r="I49">
        <v>1.264</v>
      </c>
      <c r="J49">
        <v>3.4889999999999999</v>
      </c>
      <c r="M49" s="2">
        <f t="shared" si="2"/>
        <v>2.36</v>
      </c>
      <c r="N49">
        <v>0.66600000000000004</v>
      </c>
      <c r="O49">
        <v>2.3530000000000002</v>
      </c>
      <c r="P49">
        <v>1.264</v>
      </c>
      <c r="Q49">
        <v>3.4889999999999999</v>
      </c>
    </row>
    <row r="50" spans="4:17">
      <c r="D50" s="2">
        <f t="shared" si="3"/>
        <v>0.72100000000000053</v>
      </c>
      <c r="E50">
        <v>0.66600000000000004</v>
      </c>
      <c r="F50">
        <v>1.53</v>
      </c>
      <c r="H50" s="2">
        <f t="shared" si="4"/>
        <v>0.72100000000000053</v>
      </c>
      <c r="I50">
        <v>1.264</v>
      </c>
      <c r="J50">
        <v>1.7669999999999999</v>
      </c>
      <c r="M50" s="2">
        <f t="shared" si="2"/>
        <v>2.4099999999999997</v>
      </c>
      <c r="N50">
        <v>0.66600000000000004</v>
      </c>
      <c r="O50">
        <v>1.53</v>
      </c>
      <c r="P50">
        <v>1.264</v>
      </c>
      <c r="Q50">
        <v>1.7669999999999999</v>
      </c>
    </row>
    <row r="51" spans="4:17">
      <c r="D51" s="2">
        <f t="shared" si="3"/>
        <v>0.73400000000000054</v>
      </c>
      <c r="E51">
        <v>0.52300000000000002</v>
      </c>
      <c r="F51">
        <v>3.3660000000000001</v>
      </c>
      <c r="H51" s="2">
        <f t="shared" si="4"/>
        <v>0.73400000000000054</v>
      </c>
      <c r="I51">
        <v>1.1040000000000001</v>
      </c>
      <c r="J51">
        <v>4.7089999999999996</v>
      </c>
      <c r="M51" s="2">
        <f t="shared" si="2"/>
        <v>2.4599999999999995</v>
      </c>
      <c r="N51">
        <v>0.52300000000000002</v>
      </c>
      <c r="O51">
        <v>3.3660000000000001</v>
      </c>
      <c r="P51">
        <v>1.1040000000000001</v>
      </c>
      <c r="Q51">
        <v>4.7089999999999996</v>
      </c>
    </row>
    <row r="52" spans="4:17">
      <c r="D52" s="2">
        <f t="shared" si="3"/>
        <v>0.74700000000000055</v>
      </c>
      <c r="E52">
        <v>0.86699999999999999</v>
      </c>
      <c r="F52">
        <v>1.1990000000000001</v>
      </c>
      <c r="H52" s="2">
        <f t="shared" si="4"/>
        <v>0.74700000000000055</v>
      </c>
      <c r="I52">
        <v>1.61</v>
      </c>
      <c r="J52">
        <v>2.1520000000000001</v>
      </c>
      <c r="M52" s="2">
        <f t="shared" si="2"/>
        <v>2.5099999999999993</v>
      </c>
      <c r="N52">
        <v>0.86699999999999999</v>
      </c>
      <c r="O52">
        <v>1.1990000000000001</v>
      </c>
      <c r="P52">
        <v>1.61</v>
      </c>
      <c r="Q52">
        <v>2.1520000000000001</v>
      </c>
    </row>
    <row r="53" spans="4:17">
      <c r="D53" s="2">
        <f t="shared" si="3"/>
        <v>0.76000000000000056</v>
      </c>
      <c r="E53">
        <v>0.69699999999999995</v>
      </c>
      <c r="F53">
        <v>1.1990000000000001</v>
      </c>
      <c r="H53" s="2">
        <f t="shared" si="4"/>
        <v>0.76000000000000056</v>
      </c>
      <c r="I53">
        <v>1.3540000000000001</v>
      </c>
      <c r="J53">
        <v>2.1520000000000001</v>
      </c>
      <c r="M53" s="2">
        <f t="shared" si="2"/>
        <v>2.5599999999999992</v>
      </c>
      <c r="N53">
        <v>0.69699999999999995</v>
      </c>
      <c r="O53">
        <v>1.1990000000000001</v>
      </c>
      <c r="P53">
        <v>1.3540000000000001</v>
      </c>
      <c r="Q53">
        <v>2.1520000000000001</v>
      </c>
    </row>
    <row r="54" spans="4:17">
      <c r="D54" s="2">
        <f t="shared" si="3"/>
        <v>0.77300000000000058</v>
      </c>
      <c r="E54">
        <v>0.754</v>
      </c>
      <c r="F54">
        <v>0.76</v>
      </c>
      <c r="H54" s="2">
        <f t="shared" si="4"/>
        <v>0.77300000000000058</v>
      </c>
      <c r="I54">
        <v>1.26</v>
      </c>
      <c r="J54">
        <v>1.1439999999999999</v>
      </c>
      <c r="M54" s="2">
        <f t="shared" si="2"/>
        <v>2.609999999999999</v>
      </c>
      <c r="N54">
        <v>0.754</v>
      </c>
      <c r="O54">
        <v>0.76</v>
      </c>
      <c r="P54">
        <v>1.26</v>
      </c>
      <c r="Q54">
        <v>1.1439999999999999</v>
      </c>
    </row>
    <row r="55" spans="4:17">
      <c r="D55" s="2">
        <f t="shared" si="3"/>
        <v>0.78600000000000059</v>
      </c>
      <c r="E55">
        <v>0.77500000000000002</v>
      </c>
      <c r="F55">
        <v>0.82099999999999995</v>
      </c>
      <c r="H55" s="2">
        <f t="shared" si="4"/>
        <v>0.78600000000000059</v>
      </c>
      <c r="I55">
        <v>1.3049999999999999</v>
      </c>
      <c r="J55">
        <v>1.3340000000000001</v>
      </c>
      <c r="M55" s="2">
        <f t="shared" si="2"/>
        <v>2.6599999999999988</v>
      </c>
      <c r="N55">
        <v>0.77500000000000002</v>
      </c>
      <c r="O55">
        <v>0.82099999999999995</v>
      </c>
      <c r="P55">
        <v>1.3049999999999999</v>
      </c>
      <c r="Q55">
        <v>1.3340000000000001</v>
      </c>
    </row>
    <row r="56" spans="4:17">
      <c r="D56" s="2">
        <f t="shared" si="3"/>
        <v>0.7990000000000006</v>
      </c>
      <c r="E56">
        <v>1.151</v>
      </c>
      <c r="F56">
        <v>0.88500000000000001</v>
      </c>
      <c r="H56" s="2">
        <f t="shared" si="4"/>
        <v>0.7990000000000006</v>
      </c>
      <c r="I56">
        <v>2.375</v>
      </c>
      <c r="J56">
        <v>1.556</v>
      </c>
      <c r="M56" s="2">
        <f t="shared" si="2"/>
        <v>2.7099999999999986</v>
      </c>
      <c r="N56">
        <v>1.151</v>
      </c>
      <c r="O56">
        <v>0.88500000000000001</v>
      </c>
      <c r="P56">
        <v>2.375</v>
      </c>
      <c r="Q56">
        <v>1.556</v>
      </c>
    </row>
    <row r="57" spans="4:17">
      <c r="D57" s="2">
        <f t="shared" si="3"/>
        <v>0.81200000000000061</v>
      </c>
      <c r="E57">
        <v>0.77500000000000002</v>
      </c>
      <c r="F57">
        <v>0.27300000000000002</v>
      </c>
      <c r="H57" s="2">
        <f t="shared" si="4"/>
        <v>0.81200000000000061</v>
      </c>
      <c r="I57">
        <v>1.381</v>
      </c>
      <c r="J57">
        <v>0.53500000000000003</v>
      </c>
      <c r="M57" s="2">
        <f t="shared" si="2"/>
        <v>2.7599999999999985</v>
      </c>
      <c r="N57">
        <v>0.77500000000000002</v>
      </c>
      <c r="O57">
        <v>0.27300000000000002</v>
      </c>
      <c r="P57">
        <v>1.381</v>
      </c>
      <c r="Q57">
        <v>0.53500000000000003</v>
      </c>
    </row>
    <row r="58" spans="4:17">
      <c r="D58" s="2">
        <f t="shared" si="3"/>
        <v>0.82500000000000062</v>
      </c>
      <c r="E58">
        <v>0.77100000000000002</v>
      </c>
      <c r="F58">
        <v>1.2130000000000001</v>
      </c>
      <c r="H58" s="2">
        <f t="shared" si="4"/>
        <v>0.82500000000000062</v>
      </c>
      <c r="I58">
        <v>1.069</v>
      </c>
      <c r="J58">
        <v>2.0539999999999998</v>
      </c>
      <c r="M58" s="2">
        <f t="shared" si="2"/>
        <v>2.8099999999999983</v>
      </c>
      <c r="N58">
        <v>0.77100000000000002</v>
      </c>
      <c r="O58">
        <v>1.2130000000000001</v>
      </c>
      <c r="P58">
        <v>1.069</v>
      </c>
      <c r="Q58">
        <v>2.0539999999999998</v>
      </c>
    </row>
    <row r="59" spans="4:17">
      <c r="D59" s="2">
        <f t="shared" si="3"/>
        <v>0.83800000000000063</v>
      </c>
      <c r="E59">
        <v>0.86699999999999999</v>
      </c>
      <c r="F59">
        <v>0.83599999999999997</v>
      </c>
      <c r="H59" s="2">
        <f t="shared" si="4"/>
        <v>0.83800000000000063</v>
      </c>
      <c r="I59">
        <v>1.61</v>
      </c>
      <c r="J59">
        <v>1.794</v>
      </c>
      <c r="M59" s="2">
        <f t="shared" si="2"/>
        <v>2.8599999999999981</v>
      </c>
      <c r="N59">
        <v>0.86699999999999999</v>
      </c>
      <c r="O59">
        <v>0.83599999999999997</v>
      </c>
      <c r="P59">
        <v>1.61</v>
      </c>
      <c r="Q59">
        <v>1.794</v>
      </c>
    </row>
    <row r="60" spans="4:17">
      <c r="D60" s="2">
        <f t="shared" si="3"/>
        <v>0.85100000000000064</v>
      </c>
      <c r="E60">
        <v>0.76300000000000001</v>
      </c>
      <c r="F60">
        <v>1.0009999999999999</v>
      </c>
      <c r="H60" s="2">
        <f t="shared" si="4"/>
        <v>0.85100000000000064</v>
      </c>
      <c r="I60">
        <v>1.272</v>
      </c>
      <c r="J60">
        <v>1.7130000000000001</v>
      </c>
      <c r="M60" s="2">
        <f t="shared" si="2"/>
        <v>2.9099999999999979</v>
      </c>
      <c r="N60">
        <v>0.76300000000000001</v>
      </c>
      <c r="O60">
        <v>1.0009999999999999</v>
      </c>
      <c r="P60">
        <v>1.272</v>
      </c>
      <c r="Q60">
        <v>1.7130000000000001</v>
      </c>
    </row>
    <row r="61" spans="4:17">
      <c r="D61" s="2">
        <f t="shared" si="3"/>
        <v>0.86400000000000066</v>
      </c>
      <c r="E61">
        <v>0.97</v>
      </c>
      <c r="F61">
        <v>1.375</v>
      </c>
      <c r="H61" s="2">
        <f t="shared" si="4"/>
        <v>0.86400000000000066</v>
      </c>
      <c r="I61">
        <v>1.236</v>
      </c>
      <c r="J61">
        <v>1.9830000000000001</v>
      </c>
      <c r="M61" s="2">
        <f t="shared" si="2"/>
        <v>2.9599999999999977</v>
      </c>
      <c r="N61">
        <v>0.97</v>
      </c>
      <c r="O61">
        <v>1.375</v>
      </c>
      <c r="P61">
        <v>1.236</v>
      </c>
      <c r="Q61">
        <v>1.9830000000000001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DB43-FF3C-44C7-A48A-65CA3B3DFC13}">
  <dimension ref="A3:BC130"/>
  <sheetViews>
    <sheetView topLeftCell="M64" zoomScale="55" zoomScaleNormal="55" workbookViewId="0">
      <selection activeCell="AK136" sqref="AK136"/>
    </sheetView>
  </sheetViews>
  <sheetFormatPr defaultRowHeight="15"/>
  <cols>
    <col min="40" max="40" width="20.7109375" bestFit="1" customWidth="1"/>
    <col min="41" max="41" width="30.28515625" bestFit="1" customWidth="1"/>
    <col min="53" max="53" width="9.7109375" bestFit="1" customWidth="1"/>
    <col min="54" max="54" width="18.28515625" bestFit="1" customWidth="1"/>
    <col min="55" max="55" width="18.140625" bestFit="1" customWidth="1"/>
  </cols>
  <sheetData>
    <row r="3" spans="1:55">
      <c r="BA3" s="4"/>
    </row>
    <row r="4" spans="1:55">
      <c r="A4" s="12" t="s">
        <v>0</v>
      </c>
      <c r="B4" s="13" t="s">
        <v>1</v>
      </c>
      <c r="C4" s="13" t="s">
        <v>2</v>
      </c>
      <c r="D4" s="13" t="s">
        <v>113</v>
      </c>
      <c r="F4" s="16" t="s">
        <v>0</v>
      </c>
      <c r="G4" s="17" t="s">
        <v>1</v>
      </c>
      <c r="H4" s="17" t="s">
        <v>2</v>
      </c>
      <c r="I4" s="17" t="s">
        <v>114</v>
      </c>
      <c r="K4" s="18" t="s">
        <v>129</v>
      </c>
      <c r="L4" s="13" t="s">
        <v>113</v>
      </c>
      <c r="O4" s="4" t="s">
        <v>124</v>
      </c>
      <c r="P4" s="4" t="s">
        <v>23</v>
      </c>
      <c r="Q4" s="4" t="s">
        <v>22</v>
      </c>
      <c r="R4" s="4" t="s">
        <v>125</v>
      </c>
      <c r="S4" s="4" t="s">
        <v>126</v>
      </c>
      <c r="U4" s="12" t="s">
        <v>0</v>
      </c>
      <c r="V4" s="13" t="s">
        <v>1</v>
      </c>
      <c r="W4" s="13" t="s">
        <v>2</v>
      </c>
      <c r="X4" s="13" t="s">
        <v>113</v>
      </c>
      <c r="Z4" s="12" t="s">
        <v>0</v>
      </c>
      <c r="AA4" s="13" t="s">
        <v>17</v>
      </c>
      <c r="AB4" s="13" t="s">
        <v>17</v>
      </c>
      <c r="AC4" s="18" t="s">
        <v>114</v>
      </c>
      <c r="AD4" s="4" t="s">
        <v>124</v>
      </c>
      <c r="AE4" s="18" t="s">
        <v>147</v>
      </c>
      <c r="AF4" s="18" t="s">
        <v>148</v>
      </c>
      <c r="AH4" s="4" t="s">
        <v>124</v>
      </c>
      <c r="AI4" s="4" t="s">
        <v>23</v>
      </c>
      <c r="AJ4" s="4" t="s">
        <v>22</v>
      </c>
      <c r="AK4" s="4" t="s">
        <v>125</v>
      </c>
      <c r="AL4" s="4" t="s">
        <v>126</v>
      </c>
      <c r="AM4" s="4"/>
      <c r="AN4" s="13" t="s">
        <v>131</v>
      </c>
      <c r="AO4" s="13" t="s">
        <v>130</v>
      </c>
      <c r="AR4" s="13" t="s">
        <v>130</v>
      </c>
      <c r="AS4" s="13" t="s">
        <v>131</v>
      </c>
      <c r="BA4" s="4" t="s">
        <v>124</v>
      </c>
      <c r="BB4" t="s">
        <v>152</v>
      </c>
      <c r="BC4" t="s">
        <v>153</v>
      </c>
    </row>
    <row r="5" spans="1:55">
      <c r="A5" s="5">
        <v>1</v>
      </c>
      <c r="B5" s="6" t="s">
        <v>26</v>
      </c>
      <c r="C5" s="6">
        <v>1</v>
      </c>
      <c r="D5" s="6">
        <v>0.13900000000000001</v>
      </c>
      <c r="F5">
        <v>61</v>
      </c>
      <c r="G5" t="s">
        <v>26</v>
      </c>
      <c r="H5">
        <v>0</v>
      </c>
      <c r="I5">
        <v>0.26500000000000001</v>
      </c>
      <c r="K5" s="9">
        <v>0.26500000000000001</v>
      </c>
      <c r="L5" s="6">
        <v>0.13900000000000001</v>
      </c>
      <c r="O5" s="2">
        <v>1.3333333333333334E-2</v>
      </c>
      <c r="P5" s="3">
        <f t="shared" ref="P5:P36" si="0">COUNTIF($K$5:$K$64, "&gt;" &amp; O5) / COUNTA($K$5:$K$64)</f>
        <v>1</v>
      </c>
      <c r="Q5" s="3">
        <f t="shared" ref="Q5:Q36" si="1">COUNTIF($L$5:$L$64, "&lt;" &amp; O5) / COUNTA($L$5:$L$64)</f>
        <v>0</v>
      </c>
      <c r="R5" s="2">
        <f t="shared" ref="R5:R36" si="2">ABS(O5-P5)</f>
        <v>0.98666666666666669</v>
      </c>
      <c r="S5">
        <f>MATCH(MIN(R5:R64), R5:R64, 0)</f>
        <v>21</v>
      </c>
      <c r="U5" s="5">
        <v>1</v>
      </c>
      <c r="V5" s="6" t="s">
        <v>26</v>
      </c>
      <c r="W5" s="6">
        <v>1</v>
      </c>
      <c r="X5" s="6">
        <v>0.191</v>
      </c>
      <c r="Z5" s="5">
        <v>1</v>
      </c>
      <c r="AA5" s="6" t="s">
        <v>26</v>
      </c>
      <c r="AB5" s="6">
        <v>0</v>
      </c>
      <c r="AC5" s="6">
        <v>0.32200000000000001</v>
      </c>
      <c r="AD5" s="2">
        <v>0.21</v>
      </c>
      <c r="AE5" s="6">
        <v>0.32200000000000001</v>
      </c>
      <c r="AF5" s="6">
        <v>0.191</v>
      </c>
      <c r="AH5" s="2">
        <v>0.21</v>
      </c>
      <c r="AI5" s="3">
        <f t="shared" ref="AI5:AI36" si="3">COUNTIF($AC$5:$AC$64, "&gt;" &amp; AH5) / COUNTA($AC$5:$AC$64)</f>
        <v>0.78333333333333333</v>
      </c>
      <c r="AJ5" s="3">
        <f t="shared" ref="AJ5:AJ36" si="4">COUNTIF($AF$5:$AF$64, "&lt;" &amp; AH5) / COUNTA($AF$5:$AF$64)</f>
        <v>1.6666666666666666E-2</v>
      </c>
      <c r="AK5" s="2">
        <f t="shared" ref="AK5:AK36" si="5">ABS(AH5-AI5)</f>
        <v>0.57333333333333336</v>
      </c>
      <c r="AL5">
        <f>MATCH(MIN(AK5:AK64), AK5:AK64, 0)</f>
        <v>14</v>
      </c>
      <c r="AN5" s="6">
        <v>0.878</v>
      </c>
      <c r="AO5" s="6">
        <v>0.79100000000000004</v>
      </c>
      <c r="AR5" s="6">
        <v>0.79100000000000004</v>
      </c>
      <c r="AS5" s="6">
        <v>0.878</v>
      </c>
      <c r="BA5" s="20">
        <v>1</v>
      </c>
      <c r="BB5" s="6">
        <v>0.79100000000000004</v>
      </c>
      <c r="BC5" s="6">
        <v>0.878</v>
      </c>
    </row>
    <row r="6" spans="1:55">
      <c r="A6" s="7">
        <f t="shared" ref="A6:A37" si="6">A5+1</f>
        <v>2</v>
      </c>
      <c r="B6" s="8" t="s">
        <v>26</v>
      </c>
      <c r="C6" s="8">
        <v>1</v>
      </c>
      <c r="D6" s="8">
        <v>3.6070000000000002</v>
      </c>
      <c r="F6">
        <v>62</v>
      </c>
      <c r="G6" t="s">
        <v>26</v>
      </c>
      <c r="H6">
        <v>0</v>
      </c>
      <c r="I6">
        <v>0.159</v>
      </c>
      <c r="K6" s="10">
        <v>0.159</v>
      </c>
      <c r="L6" s="8">
        <v>3.6070000000000002</v>
      </c>
      <c r="O6" s="2">
        <f>O5+0.01</f>
        <v>2.3333333333333334E-2</v>
      </c>
      <c r="P6" s="3">
        <f t="shared" si="0"/>
        <v>1</v>
      </c>
      <c r="Q6" s="3">
        <f t="shared" si="1"/>
        <v>0</v>
      </c>
      <c r="R6" s="2">
        <f t="shared" si="2"/>
        <v>0.97666666666666668</v>
      </c>
      <c r="U6" s="7">
        <v>2</v>
      </c>
      <c r="V6" s="8" t="s">
        <v>26</v>
      </c>
      <c r="W6" s="8">
        <v>1</v>
      </c>
      <c r="X6" s="8">
        <v>12.323</v>
      </c>
      <c r="Z6" s="7">
        <v>2</v>
      </c>
      <c r="AA6" s="8" t="s">
        <v>26</v>
      </c>
      <c r="AB6" s="8">
        <v>0</v>
      </c>
      <c r="AC6" s="8">
        <v>0.20599999999999999</v>
      </c>
      <c r="AD6" s="2">
        <f>AD5+0.01</f>
        <v>0.22</v>
      </c>
      <c r="AE6" s="8">
        <v>0.20599999999999999</v>
      </c>
      <c r="AF6" s="8">
        <v>12.323</v>
      </c>
      <c r="AH6" s="2">
        <f>AH5+0.01</f>
        <v>0.22</v>
      </c>
      <c r="AI6" s="3">
        <f t="shared" si="3"/>
        <v>0.73333333333333328</v>
      </c>
      <c r="AJ6" s="3">
        <f t="shared" si="4"/>
        <v>1.6666666666666666E-2</v>
      </c>
      <c r="AK6" s="2">
        <f t="shared" si="5"/>
        <v>0.51333333333333331</v>
      </c>
      <c r="AN6" s="8">
        <v>0.217</v>
      </c>
      <c r="AO6" s="8">
        <v>0.86299999999999999</v>
      </c>
      <c r="AR6" s="8">
        <v>0.86299999999999999</v>
      </c>
      <c r="AS6" s="8">
        <v>0.217</v>
      </c>
      <c r="BA6" s="20">
        <f>BA5+1</f>
        <v>2</v>
      </c>
      <c r="BB6" s="8">
        <v>0.86299999999999999</v>
      </c>
      <c r="BC6" s="8">
        <v>0.217</v>
      </c>
    </row>
    <row r="7" spans="1:55">
      <c r="A7" s="5">
        <f t="shared" si="6"/>
        <v>3</v>
      </c>
      <c r="B7" s="6" t="s">
        <v>26</v>
      </c>
      <c r="C7" s="6">
        <v>1</v>
      </c>
      <c r="D7" s="6">
        <v>0.63900000000000001</v>
      </c>
      <c r="F7">
        <v>63</v>
      </c>
      <c r="G7" t="s">
        <v>26</v>
      </c>
      <c r="H7">
        <v>0</v>
      </c>
      <c r="I7">
        <v>0.373</v>
      </c>
      <c r="K7" s="9">
        <v>0.373</v>
      </c>
      <c r="L7" s="6">
        <v>0.63900000000000001</v>
      </c>
      <c r="O7" s="2">
        <f t="shared" ref="O7:O38" si="7">O6+0.013</f>
        <v>3.6333333333333336E-2</v>
      </c>
      <c r="P7" s="3">
        <f t="shared" si="0"/>
        <v>0.98333333333333328</v>
      </c>
      <c r="Q7" s="3">
        <f t="shared" si="1"/>
        <v>0</v>
      </c>
      <c r="R7" s="2">
        <f t="shared" si="2"/>
        <v>0.94699999999999995</v>
      </c>
      <c r="U7" s="5">
        <v>3</v>
      </c>
      <c r="V7" s="6" t="s">
        <v>26</v>
      </c>
      <c r="W7" s="6">
        <v>1</v>
      </c>
      <c r="X7" s="6">
        <v>0.90500000000000003</v>
      </c>
      <c r="Z7" s="5">
        <v>3</v>
      </c>
      <c r="AA7" s="6" t="s">
        <v>26</v>
      </c>
      <c r="AB7" s="6">
        <v>0</v>
      </c>
      <c r="AC7" s="6">
        <v>0.50700000000000001</v>
      </c>
      <c r="AD7" s="2">
        <f t="shared" ref="AD7:AD38" si="8">AD6+0.013</f>
        <v>0.23300000000000001</v>
      </c>
      <c r="AE7" s="6">
        <v>0.50700000000000001</v>
      </c>
      <c r="AF7" s="6">
        <v>0.90500000000000003</v>
      </c>
      <c r="AH7" s="2">
        <f t="shared" ref="AH7:AH38" si="9">AH6+0.013</f>
        <v>0.23300000000000001</v>
      </c>
      <c r="AI7" s="3">
        <f t="shared" si="3"/>
        <v>0.68333333333333335</v>
      </c>
      <c r="AJ7" s="3">
        <f t="shared" si="4"/>
        <v>1.6666666666666666E-2</v>
      </c>
      <c r="AK7" s="2">
        <f t="shared" si="5"/>
        <v>0.45033333333333336</v>
      </c>
      <c r="AN7" s="6">
        <v>0.61</v>
      </c>
      <c r="AO7" s="6">
        <v>0.72799999999999998</v>
      </c>
      <c r="AR7" s="6">
        <v>0.72799999999999998</v>
      </c>
      <c r="AS7" s="6">
        <v>0.61</v>
      </c>
      <c r="BA7" s="20">
        <f t="shared" ref="BA7:BA64" si="10">BA6+1</f>
        <v>3</v>
      </c>
      <c r="BB7" s="6">
        <v>0.72799999999999998</v>
      </c>
      <c r="BC7" s="6">
        <v>0.61</v>
      </c>
    </row>
    <row r="8" spans="1:55">
      <c r="A8" s="7">
        <f t="shared" si="6"/>
        <v>4</v>
      </c>
      <c r="B8" s="8" t="s">
        <v>26</v>
      </c>
      <c r="C8" s="8">
        <v>1</v>
      </c>
      <c r="D8" s="8">
        <v>0.93200000000000005</v>
      </c>
      <c r="F8">
        <v>64</v>
      </c>
      <c r="G8" t="s">
        <v>26</v>
      </c>
      <c r="H8">
        <v>0</v>
      </c>
      <c r="I8">
        <v>0.28699999999999998</v>
      </c>
      <c r="K8" s="10">
        <v>0.28699999999999998</v>
      </c>
      <c r="L8" s="8">
        <v>0.93200000000000005</v>
      </c>
      <c r="O8" s="2">
        <f t="shared" si="7"/>
        <v>4.9333333333333333E-2</v>
      </c>
      <c r="P8" s="3">
        <f t="shared" si="0"/>
        <v>0.95</v>
      </c>
      <c r="Q8" s="3">
        <f t="shared" si="1"/>
        <v>0</v>
      </c>
      <c r="R8" s="2">
        <f t="shared" si="2"/>
        <v>0.90066666666666662</v>
      </c>
      <c r="U8" s="7">
        <v>4</v>
      </c>
      <c r="V8" s="8" t="s">
        <v>26</v>
      </c>
      <c r="W8" s="8">
        <v>1</v>
      </c>
      <c r="X8" s="8">
        <v>1.1379999999999999</v>
      </c>
      <c r="Z8" s="7">
        <v>4</v>
      </c>
      <c r="AA8" s="8" t="s">
        <v>26</v>
      </c>
      <c r="AB8" s="8">
        <v>0</v>
      </c>
      <c r="AC8" s="8">
        <v>0.36699999999999999</v>
      </c>
      <c r="AD8" s="2">
        <f t="shared" si="8"/>
        <v>0.24600000000000002</v>
      </c>
      <c r="AE8" s="8">
        <v>0.36699999999999999</v>
      </c>
      <c r="AF8" s="8">
        <v>1.1379999999999999</v>
      </c>
      <c r="AH8" s="2">
        <f t="shared" si="9"/>
        <v>0.24600000000000002</v>
      </c>
      <c r="AI8" s="3">
        <f t="shared" si="3"/>
        <v>0.66666666666666663</v>
      </c>
      <c r="AJ8" s="3">
        <f t="shared" si="4"/>
        <v>3.3333333333333333E-2</v>
      </c>
      <c r="AK8" s="2">
        <f t="shared" si="5"/>
        <v>0.42066666666666663</v>
      </c>
      <c r="AN8" s="8">
        <v>0.51800000000000002</v>
      </c>
      <c r="AO8" s="8">
        <v>0.77700000000000002</v>
      </c>
      <c r="AR8" s="8">
        <v>0.77700000000000002</v>
      </c>
      <c r="AS8" s="8">
        <v>0.51800000000000002</v>
      </c>
      <c r="BA8" s="20">
        <f t="shared" si="10"/>
        <v>4</v>
      </c>
      <c r="BB8" s="8">
        <v>0.77700000000000002</v>
      </c>
      <c r="BC8" s="8">
        <v>0.51800000000000002</v>
      </c>
    </row>
    <row r="9" spans="1:55">
      <c r="A9" s="5">
        <f t="shared" si="6"/>
        <v>5</v>
      </c>
      <c r="B9" s="6" t="s">
        <v>26</v>
      </c>
      <c r="C9" s="6">
        <v>1</v>
      </c>
      <c r="D9" s="6">
        <v>1.4350000000000001</v>
      </c>
      <c r="F9">
        <v>65</v>
      </c>
      <c r="G9" t="s">
        <v>26</v>
      </c>
      <c r="H9">
        <v>0</v>
      </c>
      <c r="I9">
        <v>0.33700000000000002</v>
      </c>
      <c r="K9" s="9">
        <v>0.33700000000000002</v>
      </c>
      <c r="L9" s="6">
        <v>1.4350000000000001</v>
      </c>
      <c r="O9" s="2">
        <f t="shared" si="7"/>
        <v>6.2333333333333331E-2</v>
      </c>
      <c r="P9" s="3">
        <f t="shared" si="0"/>
        <v>0.95</v>
      </c>
      <c r="Q9" s="3">
        <f t="shared" si="1"/>
        <v>0</v>
      </c>
      <c r="R9" s="2">
        <f t="shared" si="2"/>
        <v>0.8876666666666666</v>
      </c>
      <c r="U9" s="5">
        <v>5</v>
      </c>
      <c r="V9" s="6" t="s">
        <v>26</v>
      </c>
      <c r="W9" s="6">
        <v>1</v>
      </c>
      <c r="X9" s="6">
        <v>1.712</v>
      </c>
      <c r="Z9" s="5">
        <v>5</v>
      </c>
      <c r="AA9" s="6" t="s">
        <v>26</v>
      </c>
      <c r="AB9" s="6">
        <v>0</v>
      </c>
      <c r="AC9" s="6">
        <v>0.38200000000000001</v>
      </c>
      <c r="AD9" s="2">
        <f t="shared" si="8"/>
        <v>0.25900000000000001</v>
      </c>
      <c r="AE9" s="6">
        <v>0.38200000000000001</v>
      </c>
      <c r="AF9" s="6">
        <v>1.712</v>
      </c>
      <c r="AH9" s="2">
        <f t="shared" si="9"/>
        <v>0.25900000000000001</v>
      </c>
      <c r="AI9" s="3">
        <f t="shared" si="3"/>
        <v>0.65</v>
      </c>
      <c r="AJ9" s="3">
        <f t="shared" si="4"/>
        <v>3.3333333333333333E-2</v>
      </c>
      <c r="AK9" s="2">
        <f t="shared" si="5"/>
        <v>0.39100000000000001</v>
      </c>
      <c r="AN9" s="6">
        <v>0.41099999999999998</v>
      </c>
      <c r="AO9" s="6">
        <v>0.748</v>
      </c>
      <c r="AR9" s="6">
        <v>0.748</v>
      </c>
      <c r="AS9" s="6">
        <v>0.41099999999999998</v>
      </c>
      <c r="BA9" s="20">
        <f t="shared" si="10"/>
        <v>5</v>
      </c>
      <c r="BB9" s="6">
        <v>0.748</v>
      </c>
      <c r="BC9" s="6">
        <v>0.41099999999999998</v>
      </c>
    </row>
    <row r="10" spans="1:55">
      <c r="A10" s="7">
        <f t="shared" si="6"/>
        <v>6</v>
      </c>
      <c r="B10" s="8" t="s">
        <v>26</v>
      </c>
      <c r="C10" s="8">
        <v>1</v>
      </c>
      <c r="D10" s="8">
        <v>0.17399999999999999</v>
      </c>
      <c r="F10">
        <v>66</v>
      </c>
      <c r="G10" t="s">
        <v>26</v>
      </c>
      <c r="H10">
        <v>0</v>
      </c>
      <c r="I10">
        <v>0.13600000000000001</v>
      </c>
      <c r="K10" s="10">
        <v>0.13600000000000001</v>
      </c>
      <c r="L10" s="8">
        <v>0.17399999999999999</v>
      </c>
      <c r="O10" s="2">
        <f t="shared" si="7"/>
        <v>7.5333333333333335E-2</v>
      </c>
      <c r="P10" s="3">
        <f t="shared" si="0"/>
        <v>0.9</v>
      </c>
      <c r="Q10" s="3">
        <f t="shared" si="1"/>
        <v>0</v>
      </c>
      <c r="R10" s="2">
        <f t="shared" si="2"/>
        <v>0.82466666666666666</v>
      </c>
      <c r="U10" s="7">
        <v>6</v>
      </c>
      <c r="V10" s="8" t="s">
        <v>26</v>
      </c>
      <c r="W10" s="8">
        <v>1</v>
      </c>
      <c r="X10" s="8">
        <v>0.23799999999999999</v>
      </c>
      <c r="Z10" s="7">
        <v>6</v>
      </c>
      <c r="AA10" s="8" t="s">
        <v>26</v>
      </c>
      <c r="AB10" s="8">
        <v>0</v>
      </c>
      <c r="AC10" s="8">
        <v>0.308</v>
      </c>
      <c r="AD10" s="2">
        <f t="shared" si="8"/>
        <v>0.27200000000000002</v>
      </c>
      <c r="AE10" s="8">
        <v>0.308</v>
      </c>
      <c r="AF10" s="8">
        <v>0.23799999999999999</v>
      </c>
      <c r="AH10" s="2">
        <f t="shared" si="9"/>
        <v>0.27200000000000002</v>
      </c>
      <c r="AI10" s="3">
        <f t="shared" si="3"/>
        <v>0.6333333333333333</v>
      </c>
      <c r="AJ10" s="3">
        <f t="shared" si="4"/>
        <v>3.3333333333333333E-2</v>
      </c>
      <c r="AK10" s="2">
        <f t="shared" si="5"/>
        <v>0.36133333333333328</v>
      </c>
      <c r="AN10" s="8">
        <v>0.85199999999999998</v>
      </c>
      <c r="AO10" s="8">
        <v>0.88</v>
      </c>
      <c r="AR10" s="8">
        <v>0.88</v>
      </c>
      <c r="AS10" s="8">
        <v>0.85199999999999998</v>
      </c>
      <c r="BA10" s="20">
        <f t="shared" si="10"/>
        <v>6</v>
      </c>
      <c r="BB10" s="8">
        <v>0.88</v>
      </c>
      <c r="BC10" s="8">
        <v>0.85199999999999998</v>
      </c>
    </row>
    <row r="11" spans="1:55">
      <c r="A11" s="5">
        <f t="shared" si="6"/>
        <v>7</v>
      </c>
      <c r="B11" s="6" t="s">
        <v>26</v>
      </c>
      <c r="C11" s="6">
        <v>1</v>
      </c>
      <c r="D11" s="6">
        <v>0.58499999999999996</v>
      </c>
      <c r="F11">
        <v>67</v>
      </c>
      <c r="G11" t="s">
        <v>26</v>
      </c>
      <c r="H11">
        <v>0</v>
      </c>
      <c r="I11">
        <v>0.129</v>
      </c>
      <c r="K11" s="9">
        <v>0.129</v>
      </c>
      <c r="L11" s="6">
        <v>0.58499999999999996</v>
      </c>
      <c r="O11" s="2">
        <f t="shared" si="7"/>
        <v>8.8333333333333333E-2</v>
      </c>
      <c r="P11" s="3">
        <f t="shared" si="0"/>
        <v>0.85</v>
      </c>
      <c r="Q11" s="3">
        <f t="shared" si="1"/>
        <v>0</v>
      </c>
      <c r="R11" s="2">
        <f t="shared" si="2"/>
        <v>0.7616666666666666</v>
      </c>
      <c r="U11" s="5">
        <v>7</v>
      </c>
      <c r="V11" s="6" t="s">
        <v>26</v>
      </c>
      <c r="W11" s="6">
        <v>1</v>
      </c>
      <c r="X11" s="6">
        <v>0.63800000000000001</v>
      </c>
      <c r="Z11" s="5">
        <v>7</v>
      </c>
      <c r="AA11" s="6" t="s">
        <v>26</v>
      </c>
      <c r="AB11" s="6">
        <v>0</v>
      </c>
      <c r="AC11" s="6">
        <v>0.42</v>
      </c>
      <c r="AD11" s="2">
        <f t="shared" si="8"/>
        <v>0.28500000000000003</v>
      </c>
      <c r="AE11" s="6">
        <v>0.42</v>
      </c>
      <c r="AF11" s="6">
        <v>0.63800000000000001</v>
      </c>
      <c r="AH11" s="2">
        <f t="shared" si="9"/>
        <v>0.28500000000000003</v>
      </c>
      <c r="AI11" s="3">
        <f t="shared" si="3"/>
        <v>0.6</v>
      </c>
      <c r="AJ11" s="3">
        <f t="shared" si="4"/>
        <v>3.3333333333333333E-2</v>
      </c>
      <c r="AK11" s="2">
        <f t="shared" si="5"/>
        <v>0.31499999999999995</v>
      </c>
      <c r="AN11" s="6">
        <v>0.63100000000000001</v>
      </c>
      <c r="AO11" s="6">
        <v>0.88600000000000001</v>
      </c>
      <c r="AR11" s="6">
        <v>0.88600000000000001</v>
      </c>
      <c r="AS11" s="6">
        <v>0.63100000000000001</v>
      </c>
      <c r="BA11" s="20">
        <f t="shared" si="10"/>
        <v>7</v>
      </c>
      <c r="BB11" s="6">
        <v>0.88600000000000001</v>
      </c>
      <c r="BC11" s="6">
        <v>0.63100000000000001</v>
      </c>
    </row>
    <row r="12" spans="1:55">
      <c r="A12" s="7">
        <f t="shared" si="6"/>
        <v>8</v>
      </c>
      <c r="B12" s="8" t="s">
        <v>26</v>
      </c>
      <c r="C12" s="8">
        <v>1</v>
      </c>
      <c r="D12" s="8">
        <v>0.92400000000000004</v>
      </c>
      <c r="F12">
        <v>68</v>
      </c>
      <c r="G12" t="s">
        <v>26</v>
      </c>
      <c r="H12">
        <v>0</v>
      </c>
      <c r="I12">
        <v>0.17899999999999999</v>
      </c>
      <c r="K12" s="10">
        <v>0.17899999999999999</v>
      </c>
      <c r="L12" s="8">
        <v>0.92400000000000004</v>
      </c>
      <c r="O12" s="2">
        <f t="shared" si="7"/>
        <v>0.10133333333333333</v>
      </c>
      <c r="P12" s="3">
        <f t="shared" si="0"/>
        <v>0.83333333333333337</v>
      </c>
      <c r="Q12" s="3">
        <f t="shared" si="1"/>
        <v>0</v>
      </c>
      <c r="R12" s="2">
        <f t="shared" si="2"/>
        <v>0.73199999999999998</v>
      </c>
      <c r="U12" s="7">
        <v>8</v>
      </c>
      <c r="V12" s="8" t="s">
        <v>26</v>
      </c>
      <c r="W12" s="8">
        <v>1</v>
      </c>
      <c r="X12" s="8">
        <v>2.1579999999999999</v>
      </c>
      <c r="Z12" s="7">
        <v>8</v>
      </c>
      <c r="AA12" s="8" t="s">
        <v>26</v>
      </c>
      <c r="AB12" s="8">
        <v>0</v>
      </c>
      <c r="AC12" s="8">
        <v>0.314</v>
      </c>
      <c r="AD12" s="2">
        <f t="shared" si="8"/>
        <v>0.29800000000000004</v>
      </c>
      <c r="AE12" s="8">
        <v>0.314</v>
      </c>
      <c r="AF12" s="8">
        <v>2.1579999999999999</v>
      </c>
      <c r="AH12" s="2">
        <f t="shared" si="9"/>
        <v>0.29800000000000004</v>
      </c>
      <c r="AI12" s="3">
        <f t="shared" si="3"/>
        <v>0.55000000000000004</v>
      </c>
      <c r="AJ12" s="3">
        <f t="shared" si="4"/>
        <v>3.3333333333333333E-2</v>
      </c>
      <c r="AK12" s="2">
        <f t="shared" si="5"/>
        <v>0.252</v>
      </c>
      <c r="AN12" s="8">
        <v>0.52</v>
      </c>
      <c r="AO12" s="8">
        <v>0.84799999999999998</v>
      </c>
      <c r="AR12" s="8">
        <v>0.84799999999999998</v>
      </c>
      <c r="AS12" s="8">
        <v>0.52</v>
      </c>
      <c r="BA12" s="20">
        <f t="shared" si="10"/>
        <v>8</v>
      </c>
      <c r="BB12" s="8">
        <v>0.84799999999999998</v>
      </c>
      <c r="BC12" s="8">
        <v>0.52</v>
      </c>
    </row>
    <row r="13" spans="1:55">
      <c r="A13" s="5">
        <f t="shared" si="6"/>
        <v>9</v>
      </c>
      <c r="B13" s="6" t="s">
        <v>26</v>
      </c>
      <c r="C13" s="6">
        <v>1</v>
      </c>
      <c r="D13" s="6">
        <v>0.78300000000000003</v>
      </c>
      <c r="F13">
        <v>69</v>
      </c>
      <c r="G13" t="s">
        <v>26</v>
      </c>
      <c r="H13">
        <v>0</v>
      </c>
      <c r="I13">
        <v>0.22800000000000001</v>
      </c>
      <c r="K13" s="9">
        <v>0.22800000000000001</v>
      </c>
      <c r="L13" s="6">
        <v>0.78300000000000003</v>
      </c>
      <c r="O13" s="2">
        <f t="shared" si="7"/>
        <v>0.11433333333333333</v>
      </c>
      <c r="P13" s="3">
        <f t="shared" si="0"/>
        <v>0.81666666666666665</v>
      </c>
      <c r="Q13" s="3">
        <f t="shared" si="1"/>
        <v>1.6666666666666666E-2</v>
      </c>
      <c r="R13" s="2">
        <f t="shared" si="2"/>
        <v>0.70233333333333337</v>
      </c>
      <c r="U13" s="5">
        <v>9</v>
      </c>
      <c r="V13" s="6" t="s">
        <v>26</v>
      </c>
      <c r="W13" s="6">
        <v>1</v>
      </c>
      <c r="X13" s="6">
        <v>1.113</v>
      </c>
      <c r="Z13" s="5">
        <v>9</v>
      </c>
      <c r="AA13" s="6" t="s">
        <v>26</v>
      </c>
      <c r="AB13" s="6">
        <v>0</v>
      </c>
      <c r="AC13" s="6">
        <v>0.33400000000000002</v>
      </c>
      <c r="AD13" s="2">
        <f t="shared" si="8"/>
        <v>0.31100000000000005</v>
      </c>
      <c r="AE13" s="6">
        <v>0.33400000000000002</v>
      </c>
      <c r="AF13" s="6">
        <v>1.113</v>
      </c>
      <c r="AH13" s="2">
        <f t="shared" si="9"/>
        <v>0.31100000000000005</v>
      </c>
      <c r="AI13" s="3">
        <f t="shared" si="3"/>
        <v>0.51666666666666672</v>
      </c>
      <c r="AJ13" s="3">
        <f t="shared" si="4"/>
        <v>3.3333333333333333E-2</v>
      </c>
      <c r="AK13" s="2">
        <f t="shared" si="5"/>
        <v>0.20566666666666666</v>
      </c>
      <c r="AN13" s="6">
        <v>0.56100000000000005</v>
      </c>
      <c r="AO13" s="6">
        <v>0.81499999999999995</v>
      </c>
      <c r="AR13" s="6">
        <v>0.81499999999999995</v>
      </c>
      <c r="AS13" s="6">
        <v>0.56100000000000005</v>
      </c>
      <c r="BA13" s="20">
        <f t="shared" si="10"/>
        <v>9</v>
      </c>
      <c r="BB13" s="6">
        <v>0.81499999999999995</v>
      </c>
      <c r="BC13" s="6">
        <v>0.56100000000000005</v>
      </c>
    </row>
    <row r="14" spans="1:55">
      <c r="A14" s="7">
        <f t="shared" si="6"/>
        <v>10</v>
      </c>
      <c r="B14" s="8" t="s">
        <v>26</v>
      </c>
      <c r="C14" s="8">
        <v>1</v>
      </c>
      <c r="D14" s="8">
        <v>1.264</v>
      </c>
      <c r="F14">
        <v>70</v>
      </c>
      <c r="G14" t="s">
        <v>26</v>
      </c>
      <c r="H14">
        <v>0</v>
      </c>
      <c r="I14">
        <v>0.14399999999999999</v>
      </c>
      <c r="K14" s="10">
        <v>0.14399999999999999</v>
      </c>
      <c r="L14" s="8">
        <v>1.264</v>
      </c>
      <c r="O14" s="2">
        <f t="shared" si="7"/>
        <v>0.12733333333333333</v>
      </c>
      <c r="P14" s="3">
        <f t="shared" si="0"/>
        <v>0.8</v>
      </c>
      <c r="Q14" s="3">
        <f t="shared" si="1"/>
        <v>1.6666666666666666E-2</v>
      </c>
      <c r="R14" s="2">
        <f t="shared" si="2"/>
        <v>0.67266666666666675</v>
      </c>
      <c r="U14" s="7">
        <v>10</v>
      </c>
      <c r="V14" s="8" t="s">
        <v>26</v>
      </c>
      <c r="W14" s="8">
        <v>1</v>
      </c>
      <c r="X14" s="8">
        <v>1.5469999999999999</v>
      </c>
      <c r="Z14" s="7">
        <v>10</v>
      </c>
      <c r="AA14" s="8" t="s">
        <v>26</v>
      </c>
      <c r="AB14" s="8">
        <v>0</v>
      </c>
      <c r="AC14" s="8">
        <v>0.23400000000000001</v>
      </c>
      <c r="AD14" s="2">
        <f t="shared" si="8"/>
        <v>0.32400000000000007</v>
      </c>
      <c r="AE14" s="8">
        <v>0.23400000000000001</v>
      </c>
      <c r="AF14" s="8">
        <v>1.5469999999999999</v>
      </c>
      <c r="AH14" s="2">
        <f t="shared" si="9"/>
        <v>0.32400000000000007</v>
      </c>
      <c r="AI14" s="3">
        <f t="shared" si="3"/>
        <v>0.48333333333333334</v>
      </c>
      <c r="AJ14" s="3">
        <f t="shared" si="4"/>
        <v>3.3333333333333333E-2</v>
      </c>
      <c r="AK14" s="2">
        <f t="shared" si="5"/>
        <v>0.15933333333333327</v>
      </c>
      <c r="AN14" s="8">
        <v>0.442</v>
      </c>
      <c r="AO14" s="8">
        <v>0.874</v>
      </c>
      <c r="AR14" s="8">
        <v>0.874</v>
      </c>
      <c r="AS14" s="8">
        <v>0.442</v>
      </c>
      <c r="BA14" s="20">
        <f t="shared" si="10"/>
        <v>10</v>
      </c>
      <c r="BB14" s="8">
        <v>0.874</v>
      </c>
      <c r="BC14" s="8">
        <v>0.442</v>
      </c>
    </row>
    <row r="15" spans="1:55">
      <c r="A15" s="5">
        <f t="shared" si="6"/>
        <v>11</v>
      </c>
      <c r="B15" s="6" t="s">
        <v>26</v>
      </c>
      <c r="C15" s="6">
        <v>1</v>
      </c>
      <c r="D15" s="6">
        <v>1.3819999999999999</v>
      </c>
      <c r="F15">
        <v>71</v>
      </c>
      <c r="G15" t="s">
        <v>26</v>
      </c>
      <c r="H15">
        <v>0</v>
      </c>
      <c r="I15">
        <v>0.124</v>
      </c>
      <c r="K15" s="9">
        <v>0.124</v>
      </c>
      <c r="L15" s="6">
        <v>1.3819999999999999</v>
      </c>
      <c r="O15" s="2">
        <f t="shared" si="7"/>
        <v>0.14033333333333334</v>
      </c>
      <c r="P15" s="3">
        <f t="shared" si="0"/>
        <v>0.7</v>
      </c>
      <c r="Q15" s="3">
        <f t="shared" si="1"/>
        <v>3.3333333333333333E-2</v>
      </c>
      <c r="R15" s="2">
        <f t="shared" si="2"/>
        <v>0.55966666666666665</v>
      </c>
      <c r="U15" s="5">
        <v>11</v>
      </c>
      <c r="V15" s="6" t="s">
        <v>26</v>
      </c>
      <c r="W15" s="6">
        <v>1</v>
      </c>
      <c r="X15" s="6">
        <v>3.0489999999999999</v>
      </c>
      <c r="Z15" s="5">
        <v>11</v>
      </c>
      <c r="AA15" s="6" t="s">
        <v>26</v>
      </c>
      <c r="AB15" s="6">
        <v>0</v>
      </c>
      <c r="AC15" s="6">
        <v>0.20799999999999999</v>
      </c>
      <c r="AD15" s="2">
        <f t="shared" si="8"/>
        <v>0.33700000000000008</v>
      </c>
      <c r="AE15" s="6">
        <v>0.20799999999999999</v>
      </c>
      <c r="AF15" s="6">
        <v>3.0489999999999999</v>
      </c>
      <c r="AH15" s="2">
        <f t="shared" si="9"/>
        <v>0.33700000000000008</v>
      </c>
      <c r="AI15" s="3">
        <f t="shared" si="3"/>
        <v>0.45</v>
      </c>
      <c r="AJ15" s="3">
        <f t="shared" si="4"/>
        <v>3.3333333333333333E-2</v>
      </c>
      <c r="AK15" s="2">
        <f t="shared" si="5"/>
        <v>0.11299999999999993</v>
      </c>
      <c r="AN15" s="6">
        <v>0.38100000000000001</v>
      </c>
      <c r="AO15" s="6">
        <v>0.89</v>
      </c>
      <c r="AR15" s="6">
        <v>0.89</v>
      </c>
      <c r="AS15" s="6">
        <v>0.38100000000000001</v>
      </c>
      <c r="BA15" s="20">
        <f t="shared" si="10"/>
        <v>11</v>
      </c>
      <c r="BB15" s="6">
        <v>0.89</v>
      </c>
      <c r="BC15" s="6">
        <v>0.38100000000000001</v>
      </c>
    </row>
    <row r="16" spans="1:55">
      <c r="A16" s="7">
        <f t="shared" si="6"/>
        <v>12</v>
      </c>
      <c r="B16" s="8" t="s">
        <v>26</v>
      </c>
      <c r="C16" s="8">
        <v>1</v>
      </c>
      <c r="D16" s="8">
        <v>1.089</v>
      </c>
      <c r="F16">
        <v>72</v>
      </c>
      <c r="G16" t="s">
        <v>26</v>
      </c>
      <c r="H16">
        <v>0</v>
      </c>
      <c r="I16">
        <v>0.15</v>
      </c>
      <c r="K16" s="10">
        <v>0.15</v>
      </c>
      <c r="L16" s="8">
        <v>1.089</v>
      </c>
      <c r="O16" s="2">
        <f t="shared" si="7"/>
        <v>0.15333333333333335</v>
      </c>
      <c r="P16" s="3">
        <f t="shared" si="0"/>
        <v>0.6333333333333333</v>
      </c>
      <c r="Q16" s="3">
        <f t="shared" si="1"/>
        <v>3.3333333333333333E-2</v>
      </c>
      <c r="R16" s="2">
        <f t="shared" si="2"/>
        <v>0.48</v>
      </c>
      <c r="U16" s="7">
        <v>12</v>
      </c>
      <c r="V16" s="8" t="s">
        <v>26</v>
      </c>
      <c r="W16" s="8">
        <v>1</v>
      </c>
      <c r="X16" s="8">
        <v>1.2170000000000001</v>
      </c>
      <c r="Z16" s="7">
        <v>12</v>
      </c>
      <c r="AA16" s="8" t="s">
        <v>26</v>
      </c>
      <c r="AB16" s="8">
        <v>0</v>
      </c>
      <c r="AC16" s="8">
        <v>0.157</v>
      </c>
      <c r="AD16" s="2">
        <f t="shared" si="8"/>
        <v>0.35000000000000009</v>
      </c>
      <c r="AE16" s="8">
        <v>0.157</v>
      </c>
      <c r="AF16" s="8">
        <v>1.2170000000000001</v>
      </c>
      <c r="AH16" s="2">
        <f t="shared" si="9"/>
        <v>0.35000000000000009</v>
      </c>
      <c r="AI16" s="3">
        <f t="shared" si="3"/>
        <v>0.4</v>
      </c>
      <c r="AJ16" s="3">
        <f t="shared" si="4"/>
        <v>3.3333333333333333E-2</v>
      </c>
      <c r="AK16" s="2">
        <f t="shared" si="5"/>
        <v>4.9999999999999933E-2</v>
      </c>
      <c r="AN16" s="8">
        <v>0.496</v>
      </c>
      <c r="AO16" s="8">
        <v>0.87</v>
      </c>
      <c r="AR16" s="8">
        <v>0.87</v>
      </c>
      <c r="AS16" s="8">
        <v>0.496</v>
      </c>
      <c r="BA16" s="20">
        <f t="shared" si="10"/>
        <v>12</v>
      </c>
      <c r="BB16" s="8">
        <v>0.87</v>
      </c>
      <c r="BC16" s="8">
        <v>0.496</v>
      </c>
    </row>
    <row r="17" spans="1:55">
      <c r="A17" s="5">
        <f t="shared" si="6"/>
        <v>13</v>
      </c>
      <c r="B17" s="6" t="s">
        <v>26</v>
      </c>
      <c r="C17" s="6">
        <v>1</v>
      </c>
      <c r="D17" s="6">
        <v>2.89</v>
      </c>
      <c r="F17">
        <v>73</v>
      </c>
      <c r="G17" t="s">
        <v>26</v>
      </c>
      <c r="H17">
        <v>0</v>
      </c>
      <c r="I17">
        <v>0.13500000000000001</v>
      </c>
      <c r="K17" s="9">
        <v>0.13500000000000001</v>
      </c>
      <c r="L17" s="6">
        <v>2.89</v>
      </c>
      <c r="O17" s="2">
        <f t="shared" si="7"/>
        <v>0.16633333333333336</v>
      </c>
      <c r="P17" s="3">
        <f t="shared" si="0"/>
        <v>0.56666666666666665</v>
      </c>
      <c r="Q17" s="3">
        <f t="shared" si="1"/>
        <v>3.3333333333333333E-2</v>
      </c>
      <c r="R17" s="2">
        <f t="shared" si="2"/>
        <v>0.40033333333333332</v>
      </c>
      <c r="U17" s="5">
        <v>13</v>
      </c>
      <c r="V17" s="6" t="s">
        <v>26</v>
      </c>
      <c r="W17" s="6">
        <v>1</v>
      </c>
      <c r="X17" s="6">
        <v>3.3740000000000001</v>
      </c>
      <c r="Z17" s="5">
        <v>13</v>
      </c>
      <c r="AA17" s="6" t="s">
        <v>26</v>
      </c>
      <c r="AB17" s="6">
        <v>0</v>
      </c>
      <c r="AC17" s="6">
        <v>0.30499999999999999</v>
      </c>
      <c r="AD17" s="2">
        <f t="shared" si="8"/>
        <v>0.3630000000000001</v>
      </c>
      <c r="AE17" s="6">
        <v>0.30499999999999999</v>
      </c>
      <c r="AF17" s="6">
        <v>3.3740000000000001</v>
      </c>
      <c r="AH17" s="2">
        <f t="shared" si="9"/>
        <v>0.3630000000000001</v>
      </c>
      <c r="AI17" s="3">
        <f t="shared" si="3"/>
        <v>0.4</v>
      </c>
      <c r="AJ17" s="3">
        <f t="shared" si="4"/>
        <v>3.3333333333333333E-2</v>
      </c>
      <c r="AK17" s="2">
        <f t="shared" si="5"/>
        <v>3.6999999999999922E-2</v>
      </c>
      <c r="AN17" s="6">
        <v>0.183</v>
      </c>
      <c r="AO17" s="6">
        <v>0.88100000000000001</v>
      </c>
      <c r="AR17" s="6">
        <v>0.88100000000000001</v>
      </c>
      <c r="AS17" s="6">
        <v>0.183</v>
      </c>
      <c r="BA17" s="20">
        <f t="shared" si="10"/>
        <v>13</v>
      </c>
      <c r="BB17" s="6">
        <v>0.88100000000000001</v>
      </c>
      <c r="BC17" s="6">
        <v>0.183</v>
      </c>
    </row>
    <row r="18" spans="1:55">
      <c r="A18" s="7">
        <f t="shared" si="6"/>
        <v>14</v>
      </c>
      <c r="B18" s="8" t="s">
        <v>26</v>
      </c>
      <c r="C18" s="8">
        <v>1</v>
      </c>
      <c r="D18" s="8">
        <v>0.16700000000000001</v>
      </c>
      <c r="F18">
        <v>74</v>
      </c>
      <c r="G18" t="s">
        <v>26</v>
      </c>
      <c r="H18">
        <v>0</v>
      </c>
      <c r="I18">
        <v>0.14699999999999999</v>
      </c>
      <c r="K18" s="10">
        <v>0.14699999999999999</v>
      </c>
      <c r="L18" s="8">
        <v>0.16700000000000001</v>
      </c>
      <c r="O18" s="2">
        <f t="shared" si="7"/>
        <v>0.17933333333333337</v>
      </c>
      <c r="P18" s="3">
        <f t="shared" si="0"/>
        <v>0.51666666666666672</v>
      </c>
      <c r="Q18" s="3">
        <f t="shared" si="1"/>
        <v>6.6666666666666666E-2</v>
      </c>
      <c r="R18" s="2">
        <f t="shared" si="2"/>
        <v>0.33733333333333337</v>
      </c>
      <c r="U18" s="7">
        <v>14</v>
      </c>
      <c r="V18" s="8" t="s">
        <v>26</v>
      </c>
      <c r="W18" s="8">
        <v>1</v>
      </c>
      <c r="X18" s="8">
        <v>0.377</v>
      </c>
      <c r="Z18" s="7">
        <v>14</v>
      </c>
      <c r="AA18" s="8" t="s">
        <v>26</v>
      </c>
      <c r="AB18" s="8">
        <v>0</v>
      </c>
      <c r="AC18" s="8">
        <v>0.23</v>
      </c>
      <c r="AD18" s="2">
        <f t="shared" si="8"/>
        <v>0.37600000000000011</v>
      </c>
      <c r="AE18" s="8">
        <v>0.23</v>
      </c>
      <c r="AF18" s="8">
        <v>0.377</v>
      </c>
      <c r="AH18" s="2">
        <f t="shared" si="9"/>
        <v>0.37600000000000011</v>
      </c>
      <c r="AI18" s="3">
        <f t="shared" si="3"/>
        <v>0.36666666666666664</v>
      </c>
      <c r="AJ18" s="3">
        <f t="shared" si="4"/>
        <v>3.3333333333333333E-2</v>
      </c>
      <c r="AK18" s="2">
        <f t="shared" si="5"/>
        <v>9.3333333333334711E-3</v>
      </c>
      <c r="AN18" s="8">
        <v>0.85699999999999998</v>
      </c>
      <c r="AO18" s="8">
        <v>0.872</v>
      </c>
      <c r="AR18" s="8">
        <v>0.872</v>
      </c>
      <c r="AS18" s="8">
        <v>0.85699999999999998</v>
      </c>
      <c r="BA18" s="20">
        <f t="shared" si="10"/>
        <v>14</v>
      </c>
      <c r="BB18" s="8">
        <v>0.872</v>
      </c>
      <c r="BC18" s="8">
        <v>0.85699999999999998</v>
      </c>
    </row>
    <row r="19" spans="1:55">
      <c r="A19" s="5">
        <f t="shared" si="6"/>
        <v>15</v>
      </c>
      <c r="B19" s="6" t="s">
        <v>26</v>
      </c>
      <c r="C19" s="6">
        <v>1</v>
      </c>
      <c r="D19" s="6">
        <v>1.1299999999999999</v>
      </c>
      <c r="F19">
        <v>75</v>
      </c>
      <c r="G19" t="s">
        <v>26</v>
      </c>
      <c r="H19">
        <v>0</v>
      </c>
      <c r="I19">
        <v>0.31</v>
      </c>
      <c r="K19" s="9">
        <v>0.31</v>
      </c>
      <c r="L19" s="6">
        <v>1.1299999999999999</v>
      </c>
      <c r="O19" s="2">
        <f t="shared" si="7"/>
        <v>0.19233333333333338</v>
      </c>
      <c r="P19" s="3">
        <f t="shared" si="0"/>
        <v>0.5</v>
      </c>
      <c r="Q19" s="3">
        <f t="shared" si="1"/>
        <v>6.6666666666666666E-2</v>
      </c>
      <c r="R19" s="2">
        <f t="shared" si="2"/>
        <v>0.30766666666666664</v>
      </c>
      <c r="U19" s="5">
        <v>15</v>
      </c>
      <c r="V19" s="6" t="s">
        <v>26</v>
      </c>
      <c r="W19" s="6">
        <v>1</v>
      </c>
      <c r="X19" s="6">
        <v>1.294</v>
      </c>
      <c r="Z19" s="5">
        <v>15</v>
      </c>
      <c r="AA19" s="6" t="s">
        <v>26</v>
      </c>
      <c r="AB19" s="6">
        <v>0</v>
      </c>
      <c r="AC19" s="6">
        <v>0.438</v>
      </c>
      <c r="AD19" s="2">
        <f t="shared" si="8"/>
        <v>0.38900000000000012</v>
      </c>
      <c r="AE19" s="6">
        <v>0.438</v>
      </c>
      <c r="AF19" s="6">
        <v>1.294</v>
      </c>
      <c r="AH19" s="2">
        <f t="shared" si="9"/>
        <v>0.38900000000000012</v>
      </c>
      <c r="AI19" s="3">
        <f t="shared" si="3"/>
        <v>0.3</v>
      </c>
      <c r="AJ19" s="3">
        <f t="shared" si="4"/>
        <v>0.05</v>
      </c>
      <c r="AK19" s="2">
        <f t="shared" si="5"/>
        <v>8.9000000000000135E-2</v>
      </c>
      <c r="AN19" s="6">
        <v>0.46899999999999997</v>
      </c>
      <c r="AO19" s="6">
        <v>0.76300000000000001</v>
      </c>
      <c r="AR19" s="6">
        <v>0.76300000000000001</v>
      </c>
      <c r="AS19" s="6">
        <v>0.46899999999999997</v>
      </c>
      <c r="BA19" s="20">
        <f t="shared" si="10"/>
        <v>15</v>
      </c>
      <c r="BB19" s="6">
        <v>0.76300000000000001</v>
      </c>
      <c r="BC19" s="6">
        <v>0.46899999999999997</v>
      </c>
    </row>
    <row r="20" spans="1:55">
      <c r="A20" s="7">
        <f t="shared" si="6"/>
        <v>16</v>
      </c>
      <c r="B20" s="8" t="s">
        <v>26</v>
      </c>
      <c r="C20" s="8">
        <v>1</v>
      </c>
      <c r="D20" s="8">
        <v>1.0680000000000001</v>
      </c>
      <c r="F20">
        <v>76</v>
      </c>
      <c r="G20" t="s">
        <v>26</v>
      </c>
      <c r="H20">
        <v>0</v>
      </c>
      <c r="I20">
        <v>0.254</v>
      </c>
      <c r="K20" s="10">
        <v>0.254</v>
      </c>
      <c r="L20" s="8">
        <v>1.0680000000000001</v>
      </c>
      <c r="O20" s="2">
        <f t="shared" si="7"/>
        <v>0.2053333333333334</v>
      </c>
      <c r="P20" s="3">
        <f t="shared" si="0"/>
        <v>0.48333333333333334</v>
      </c>
      <c r="Q20" s="3">
        <f t="shared" si="1"/>
        <v>6.6666666666666666E-2</v>
      </c>
      <c r="R20" s="2">
        <f t="shared" si="2"/>
        <v>0.27799999999999991</v>
      </c>
      <c r="U20" s="7">
        <v>16</v>
      </c>
      <c r="V20" s="8" t="s">
        <v>26</v>
      </c>
      <c r="W20" s="8">
        <v>1</v>
      </c>
      <c r="X20" s="8">
        <v>1.212</v>
      </c>
      <c r="Z20" s="7">
        <v>16</v>
      </c>
      <c r="AA20" s="8" t="s">
        <v>26</v>
      </c>
      <c r="AB20" s="8">
        <v>0</v>
      </c>
      <c r="AC20" s="8">
        <v>0.34899999999999998</v>
      </c>
      <c r="AD20" s="2">
        <f t="shared" si="8"/>
        <v>0.40200000000000014</v>
      </c>
      <c r="AE20" s="8">
        <v>0.34899999999999998</v>
      </c>
      <c r="AF20" s="8">
        <v>1.212</v>
      </c>
      <c r="AH20" s="2">
        <f t="shared" si="9"/>
        <v>0.40200000000000014</v>
      </c>
      <c r="AI20" s="3">
        <f t="shared" si="3"/>
        <v>0.26666666666666666</v>
      </c>
      <c r="AJ20" s="3">
        <f t="shared" si="4"/>
        <v>6.6666666666666666E-2</v>
      </c>
      <c r="AK20" s="2">
        <f t="shared" si="5"/>
        <v>0.13533333333333347</v>
      </c>
      <c r="AN20" s="8">
        <v>0.48399999999999999</v>
      </c>
      <c r="AO20" s="8">
        <v>0.79800000000000004</v>
      </c>
      <c r="AR20" s="8">
        <v>0.79800000000000004</v>
      </c>
      <c r="AS20" s="8">
        <v>0.48399999999999999</v>
      </c>
      <c r="BA20" s="20">
        <f t="shared" si="10"/>
        <v>16</v>
      </c>
      <c r="BB20" s="8">
        <v>0.79800000000000004</v>
      </c>
      <c r="BC20" s="8">
        <v>0.48399999999999999</v>
      </c>
    </row>
    <row r="21" spans="1:55">
      <c r="A21" s="5">
        <f t="shared" si="6"/>
        <v>17</v>
      </c>
      <c r="B21" s="6" t="s">
        <v>26</v>
      </c>
      <c r="C21" s="6">
        <v>1</v>
      </c>
      <c r="D21" s="6">
        <v>0.96499999999999997</v>
      </c>
      <c r="F21">
        <v>77</v>
      </c>
      <c r="G21" t="s">
        <v>26</v>
      </c>
      <c r="H21">
        <v>0</v>
      </c>
      <c r="I21">
        <v>0.09</v>
      </c>
      <c r="K21" s="9">
        <v>0.09</v>
      </c>
      <c r="L21" s="6">
        <v>0.96499999999999997</v>
      </c>
      <c r="O21" s="2">
        <f t="shared" si="7"/>
        <v>0.21833333333333341</v>
      </c>
      <c r="P21" s="3">
        <f t="shared" si="0"/>
        <v>0.48333333333333334</v>
      </c>
      <c r="Q21" s="3">
        <f t="shared" si="1"/>
        <v>6.6666666666666666E-2</v>
      </c>
      <c r="R21" s="2">
        <f t="shared" si="2"/>
        <v>0.2649999999999999</v>
      </c>
      <c r="U21" s="5">
        <v>17</v>
      </c>
      <c r="V21" s="6" t="s">
        <v>26</v>
      </c>
      <c r="W21" s="6">
        <v>1</v>
      </c>
      <c r="X21" s="6">
        <v>1.262</v>
      </c>
      <c r="Z21" s="5">
        <v>17</v>
      </c>
      <c r="AA21" s="6" t="s">
        <v>26</v>
      </c>
      <c r="AB21" s="6">
        <v>0</v>
      </c>
      <c r="AC21" s="6">
        <v>0.188</v>
      </c>
      <c r="AD21" s="2">
        <f t="shared" si="8"/>
        <v>0.41500000000000015</v>
      </c>
      <c r="AE21" s="6">
        <v>0.188</v>
      </c>
      <c r="AF21" s="6">
        <v>1.262</v>
      </c>
      <c r="AH21" s="2">
        <f t="shared" si="9"/>
        <v>0.41500000000000015</v>
      </c>
      <c r="AI21" s="3">
        <f t="shared" si="3"/>
        <v>0.21666666666666667</v>
      </c>
      <c r="AJ21" s="3">
        <f t="shared" si="4"/>
        <v>6.6666666666666666E-2</v>
      </c>
      <c r="AK21" s="2">
        <f t="shared" si="5"/>
        <v>0.19833333333333347</v>
      </c>
      <c r="AN21" s="6">
        <v>0.50900000000000001</v>
      </c>
      <c r="AO21" s="6">
        <v>0.91700000000000004</v>
      </c>
      <c r="AR21" s="6">
        <v>0.91700000000000004</v>
      </c>
      <c r="AS21" s="6">
        <v>0.50900000000000001</v>
      </c>
      <c r="BA21" s="20">
        <f t="shared" si="10"/>
        <v>17</v>
      </c>
      <c r="BB21" s="6">
        <v>0.91700000000000004</v>
      </c>
      <c r="BC21" s="6">
        <v>0.50900000000000001</v>
      </c>
    </row>
    <row r="22" spans="1:55">
      <c r="A22" s="7">
        <f t="shared" si="6"/>
        <v>18</v>
      </c>
      <c r="B22" s="8" t="s">
        <v>26</v>
      </c>
      <c r="C22" s="8">
        <v>1</v>
      </c>
      <c r="D22" s="8">
        <v>1.6220000000000001</v>
      </c>
      <c r="F22">
        <v>78</v>
      </c>
      <c r="G22" t="s">
        <v>26</v>
      </c>
      <c r="H22">
        <v>0</v>
      </c>
      <c r="I22">
        <v>0.154</v>
      </c>
      <c r="K22" s="10">
        <v>0.154</v>
      </c>
      <c r="L22" s="8">
        <v>1.6220000000000001</v>
      </c>
      <c r="O22" s="2">
        <f t="shared" si="7"/>
        <v>0.23133333333333342</v>
      </c>
      <c r="P22" s="3">
        <f t="shared" si="0"/>
        <v>0.41666666666666669</v>
      </c>
      <c r="Q22" s="3">
        <f t="shared" si="1"/>
        <v>6.6666666666666666E-2</v>
      </c>
      <c r="R22" s="2">
        <f t="shared" si="2"/>
        <v>0.18533333333333327</v>
      </c>
      <c r="U22" s="7">
        <v>18</v>
      </c>
      <c r="V22" s="8" t="s">
        <v>26</v>
      </c>
      <c r="W22" s="8">
        <v>1</v>
      </c>
      <c r="X22" s="8">
        <v>2.0489999999999999</v>
      </c>
      <c r="Z22" s="7">
        <v>18</v>
      </c>
      <c r="AA22" s="8" t="s">
        <v>26</v>
      </c>
      <c r="AB22" s="8">
        <v>0</v>
      </c>
      <c r="AC22" s="8">
        <v>0.20200000000000001</v>
      </c>
      <c r="AD22" s="2">
        <f t="shared" si="8"/>
        <v>0.42800000000000016</v>
      </c>
      <c r="AE22" s="8">
        <v>0.20200000000000001</v>
      </c>
      <c r="AF22" s="8">
        <v>2.0489999999999999</v>
      </c>
      <c r="AH22" s="2">
        <f t="shared" si="9"/>
        <v>0.42800000000000016</v>
      </c>
      <c r="AI22" s="3">
        <f t="shared" si="3"/>
        <v>0.16666666666666666</v>
      </c>
      <c r="AJ22" s="3">
        <f t="shared" si="4"/>
        <v>8.3333333333333329E-2</v>
      </c>
      <c r="AK22" s="2">
        <f t="shared" si="5"/>
        <v>0.26133333333333353</v>
      </c>
      <c r="AN22" s="8">
        <v>0.38100000000000001</v>
      </c>
      <c r="AO22" s="8">
        <v>0.86699999999999999</v>
      </c>
      <c r="AR22" s="8">
        <v>0.86699999999999999</v>
      </c>
      <c r="AS22" s="8">
        <v>0.38100000000000001</v>
      </c>
      <c r="BA22" s="20">
        <f t="shared" si="10"/>
        <v>18</v>
      </c>
      <c r="BB22" s="8">
        <v>0.86699999999999999</v>
      </c>
      <c r="BC22" s="8">
        <v>0.38100000000000001</v>
      </c>
    </row>
    <row r="23" spans="1:55">
      <c r="A23" s="5">
        <f t="shared" si="6"/>
        <v>19</v>
      </c>
      <c r="B23" s="6" t="s">
        <v>26</v>
      </c>
      <c r="C23" s="6">
        <v>1</v>
      </c>
      <c r="D23" s="6">
        <v>1.016</v>
      </c>
      <c r="F23">
        <v>79</v>
      </c>
      <c r="G23" t="s">
        <v>26</v>
      </c>
      <c r="H23">
        <v>0</v>
      </c>
      <c r="I23">
        <v>0.249</v>
      </c>
      <c r="K23" s="9">
        <v>0.249</v>
      </c>
      <c r="L23" s="6">
        <v>1.016</v>
      </c>
      <c r="O23" s="2">
        <f t="shared" si="7"/>
        <v>0.24433333333333343</v>
      </c>
      <c r="P23" s="3">
        <f t="shared" si="0"/>
        <v>0.38333333333333336</v>
      </c>
      <c r="Q23" s="3">
        <f t="shared" si="1"/>
        <v>6.6666666666666666E-2</v>
      </c>
      <c r="R23" s="2">
        <f t="shared" si="2"/>
        <v>0.13899999999999993</v>
      </c>
      <c r="U23" s="5">
        <v>19</v>
      </c>
      <c r="V23" s="6" t="s">
        <v>26</v>
      </c>
      <c r="W23" s="6">
        <v>1</v>
      </c>
      <c r="X23" s="6">
        <v>1.5169999999999999</v>
      </c>
      <c r="Z23" s="5">
        <v>19</v>
      </c>
      <c r="AA23" s="6" t="s">
        <v>26</v>
      </c>
      <c r="AB23" s="6">
        <v>0</v>
      </c>
      <c r="AC23" s="6">
        <v>0.42499999999999999</v>
      </c>
      <c r="AD23" s="2">
        <f t="shared" si="8"/>
        <v>0.44100000000000017</v>
      </c>
      <c r="AE23" s="6">
        <v>0.42499999999999999</v>
      </c>
      <c r="AF23" s="6">
        <v>1.5169999999999999</v>
      </c>
      <c r="AH23" s="2">
        <f t="shared" si="9"/>
        <v>0.44100000000000017</v>
      </c>
      <c r="AI23" s="3">
        <f t="shared" si="3"/>
        <v>0.15</v>
      </c>
      <c r="AJ23" s="3">
        <f t="shared" si="4"/>
        <v>8.3333333333333329E-2</v>
      </c>
      <c r="AK23" s="2">
        <f t="shared" si="5"/>
        <v>0.29100000000000015</v>
      </c>
      <c r="AN23" s="6">
        <v>0.496</v>
      </c>
      <c r="AO23" s="6">
        <v>0.80100000000000005</v>
      </c>
      <c r="AR23" s="6">
        <v>0.80100000000000005</v>
      </c>
      <c r="AS23" s="6">
        <v>0.496</v>
      </c>
      <c r="BA23" s="20">
        <f t="shared" si="10"/>
        <v>19</v>
      </c>
      <c r="BB23" s="6">
        <v>0.80100000000000005</v>
      </c>
      <c r="BC23" s="6">
        <v>0.496</v>
      </c>
    </row>
    <row r="24" spans="1:55">
      <c r="A24" s="7">
        <f t="shared" si="6"/>
        <v>20</v>
      </c>
      <c r="B24" s="8" t="s">
        <v>26</v>
      </c>
      <c r="C24" s="8">
        <v>1</v>
      </c>
      <c r="D24" s="8">
        <v>2.65</v>
      </c>
      <c r="F24">
        <v>80</v>
      </c>
      <c r="G24" t="s">
        <v>26</v>
      </c>
      <c r="H24">
        <v>0</v>
      </c>
      <c r="I24">
        <v>0.35</v>
      </c>
      <c r="K24" s="10">
        <v>0.35</v>
      </c>
      <c r="L24" s="8">
        <v>2.65</v>
      </c>
      <c r="O24" s="2">
        <f t="shared" si="7"/>
        <v>0.25733333333333341</v>
      </c>
      <c r="P24" s="3">
        <f t="shared" si="0"/>
        <v>0.31666666666666665</v>
      </c>
      <c r="Q24" s="3">
        <f t="shared" si="1"/>
        <v>6.6666666666666666E-2</v>
      </c>
      <c r="R24" s="2">
        <f t="shared" si="2"/>
        <v>5.9333333333333238E-2</v>
      </c>
      <c r="U24" s="7">
        <v>20</v>
      </c>
      <c r="V24" s="8" t="s">
        <v>26</v>
      </c>
      <c r="W24" s="8">
        <v>1</v>
      </c>
      <c r="X24" s="8">
        <v>3.3740000000000001</v>
      </c>
      <c r="Z24" s="7">
        <v>20</v>
      </c>
      <c r="AA24" s="8" t="s">
        <v>26</v>
      </c>
      <c r="AB24" s="8">
        <v>0</v>
      </c>
      <c r="AC24" s="8">
        <v>0.41</v>
      </c>
      <c r="AD24" s="2">
        <f t="shared" si="8"/>
        <v>0.45400000000000018</v>
      </c>
      <c r="AE24" s="8">
        <v>0.41</v>
      </c>
      <c r="AF24" s="8">
        <v>3.3740000000000001</v>
      </c>
      <c r="AH24" s="2">
        <f t="shared" si="9"/>
        <v>0.45400000000000018</v>
      </c>
      <c r="AI24" s="3">
        <f t="shared" si="3"/>
        <v>0.15</v>
      </c>
      <c r="AJ24" s="3">
        <f t="shared" si="4"/>
        <v>8.3333333333333329E-2</v>
      </c>
      <c r="AK24" s="2">
        <f t="shared" si="5"/>
        <v>0.30400000000000016</v>
      </c>
      <c r="AN24" s="8">
        <v>0.27400000000000002</v>
      </c>
      <c r="AO24" s="8">
        <v>0.74099999999999999</v>
      </c>
      <c r="AR24" s="8">
        <v>0.74099999999999999</v>
      </c>
      <c r="AS24" s="8">
        <v>0.27400000000000002</v>
      </c>
      <c r="BA24" s="20">
        <f t="shared" si="10"/>
        <v>20</v>
      </c>
      <c r="BB24" s="8">
        <v>0.74099999999999999</v>
      </c>
      <c r="BC24" s="8">
        <v>0.27400000000000002</v>
      </c>
    </row>
    <row r="25" spans="1:55">
      <c r="A25" s="5">
        <f t="shared" si="6"/>
        <v>21</v>
      </c>
      <c r="B25" s="6" t="s">
        <v>32</v>
      </c>
      <c r="C25" s="6">
        <v>1</v>
      </c>
      <c r="D25" s="6">
        <v>0.95499999999999996</v>
      </c>
      <c r="F25">
        <v>81</v>
      </c>
      <c r="G25" t="s">
        <v>32</v>
      </c>
      <c r="H25">
        <v>0</v>
      </c>
      <c r="I25">
        <v>4.7E-2</v>
      </c>
      <c r="K25" s="9">
        <v>4.7E-2</v>
      </c>
      <c r="L25" s="6">
        <v>0.95499999999999996</v>
      </c>
      <c r="O25" s="2">
        <f t="shared" si="7"/>
        <v>0.27033333333333343</v>
      </c>
      <c r="P25" s="3">
        <f t="shared" si="0"/>
        <v>0.26666666666666666</v>
      </c>
      <c r="Q25" s="3">
        <f t="shared" si="1"/>
        <v>6.6666666666666666E-2</v>
      </c>
      <c r="R25" s="19">
        <f t="shared" si="2"/>
        <v>3.6666666666667624E-3</v>
      </c>
      <c r="U25" s="5">
        <v>21</v>
      </c>
      <c r="V25" s="6" t="s">
        <v>32</v>
      </c>
      <c r="W25" s="6">
        <v>1</v>
      </c>
      <c r="X25" s="6">
        <v>1.0880000000000001</v>
      </c>
      <c r="Z25" s="5">
        <v>21</v>
      </c>
      <c r="AA25" s="6" t="s">
        <v>32</v>
      </c>
      <c r="AB25" s="6">
        <v>0</v>
      </c>
      <c r="AC25" s="6">
        <v>7.0999999999999994E-2</v>
      </c>
      <c r="AD25" s="2">
        <f t="shared" si="8"/>
        <v>0.46700000000000019</v>
      </c>
      <c r="AE25" s="6">
        <v>7.0999999999999994E-2</v>
      </c>
      <c r="AF25" s="6">
        <v>1.0880000000000001</v>
      </c>
      <c r="AH25" s="2">
        <f t="shared" si="9"/>
        <v>0.46700000000000019</v>
      </c>
      <c r="AI25" s="3">
        <f t="shared" si="3"/>
        <v>0.15</v>
      </c>
      <c r="AJ25" s="3">
        <f t="shared" si="4"/>
        <v>8.3333333333333329E-2</v>
      </c>
      <c r="AK25" s="2">
        <f t="shared" si="5"/>
        <v>0.31700000000000017</v>
      </c>
      <c r="AN25" s="6">
        <v>0.51200000000000001</v>
      </c>
      <c r="AO25" s="6">
        <v>0.95499999999999996</v>
      </c>
      <c r="AR25" s="6">
        <v>0.95499999999999996</v>
      </c>
      <c r="AS25" s="6">
        <v>0.51200000000000001</v>
      </c>
      <c r="BA25" s="20">
        <f t="shared" si="10"/>
        <v>21</v>
      </c>
      <c r="BB25" s="6">
        <v>0.95499999999999996</v>
      </c>
      <c r="BC25" s="6">
        <v>0.51200000000000001</v>
      </c>
    </row>
    <row r="26" spans="1:55">
      <c r="A26" s="7">
        <f t="shared" si="6"/>
        <v>22</v>
      </c>
      <c r="B26" s="8" t="s">
        <v>32</v>
      </c>
      <c r="C26" s="8">
        <v>1</v>
      </c>
      <c r="D26" s="8">
        <v>0.45900000000000002</v>
      </c>
      <c r="F26">
        <v>82</v>
      </c>
      <c r="G26" t="s">
        <v>32</v>
      </c>
      <c r="H26">
        <v>0</v>
      </c>
      <c r="I26">
        <v>0.129</v>
      </c>
      <c r="K26" s="10">
        <v>0.129</v>
      </c>
      <c r="L26" s="8">
        <v>0.45900000000000002</v>
      </c>
      <c r="O26" s="2">
        <f t="shared" si="7"/>
        <v>0.28333333333333344</v>
      </c>
      <c r="P26" s="3">
        <f t="shared" si="0"/>
        <v>0.25</v>
      </c>
      <c r="Q26" s="3">
        <f t="shared" si="1"/>
        <v>6.6666666666666666E-2</v>
      </c>
      <c r="R26" s="2">
        <f t="shared" si="2"/>
        <v>3.3333333333333437E-2</v>
      </c>
      <c r="U26" s="7">
        <v>22</v>
      </c>
      <c r="V26" s="8" t="s">
        <v>32</v>
      </c>
      <c r="W26" s="8">
        <v>1</v>
      </c>
      <c r="X26" s="8">
        <v>0.79600000000000004</v>
      </c>
      <c r="Z26" s="7">
        <v>22</v>
      </c>
      <c r="AA26" s="8" t="s">
        <v>32</v>
      </c>
      <c r="AB26" s="8">
        <v>0</v>
      </c>
      <c r="AC26" s="8">
        <v>0.14000000000000001</v>
      </c>
      <c r="AD26" s="2">
        <f t="shared" si="8"/>
        <v>0.4800000000000002</v>
      </c>
      <c r="AE26" s="8">
        <v>0.14000000000000001</v>
      </c>
      <c r="AF26" s="8">
        <v>0.79600000000000004</v>
      </c>
      <c r="AH26" s="2">
        <f t="shared" si="9"/>
        <v>0.4800000000000002</v>
      </c>
      <c r="AI26" s="3">
        <f t="shared" si="3"/>
        <v>0.15</v>
      </c>
      <c r="AJ26" s="3">
        <f t="shared" si="4"/>
        <v>8.3333333333333329E-2</v>
      </c>
      <c r="AK26" s="2">
        <f t="shared" si="5"/>
        <v>0.33000000000000018</v>
      </c>
      <c r="AN26" s="8">
        <v>0.68500000000000005</v>
      </c>
      <c r="AO26" s="8">
        <v>0.88600000000000001</v>
      </c>
      <c r="AR26" s="8">
        <v>0.88600000000000001</v>
      </c>
      <c r="AS26" s="8">
        <v>0.68500000000000005</v>
      </c>
      <c r="BA26" s="20">
        <f t="shared" si="10"/>
        <v>22</v>
      </c>
      <c r="BB26" s="8">
        <v>0.88600000000000001</v>
      </c>
      <c r="BC26" s="8">
        <v>0.68500000000000005</v>
      </c>
    </row>
    <row r="27" spans="1:55">
      <c r="A27" s="5">
        <f t="shared" si="6"/>
        <v>23</v>
      </c>
      <c r="B27" s="6" t="s">
        <v>32</v>
      </c>
      <c r="C27" s="6">
        <v>1</v>
      </c>
      <c r="D27" s="6">
        <v>0.76</v>
      </c>
      <c r="F27">
        <v>83</v>
      </c>
      <c r="G27" t="s">
        <v>32</v>
      </c>
      <c r="H27">
        <v>0</v>
      </c>
      <c r="I27">
        <v>6.7000000000000004E-2</v>
      </c>
      <c r="K27" s="9">
        <v>6.7000000000000004E-2</v>
      </c>
      <c r="L27" s="6">
        <v>0.76</v>
      </c>
      <c r="O27" s="2">
        <f t="shared" si="7"/>
        <v>0.29633333333333345</v>
      </c>
      <c r="P27" s="3">
        <f t="shared" si="0"/>
        <v>0.2</v>
      </c>
      <c r="Q27" s="3">
        <f t="shared" si="1"/>
        <v>6.6666666666666666E-2</v>
      </c>
      <c r="R27" s="2">
        <f t="shared" si="2"/>
        <v>9.6333333333333437E-2</v>
      </c>
      <c r="U27" s="5">
        <v>23</v>
      </c>
      <c r="V27" s="6" t="s">
        <v>32</v>
      </c>
      <c r="W27" s="6">
        <v>1</v>
      </c>
      <c r="X27" s="6">
        <v>0.83799999999999997</v>
      </c>
      <c r="Z27" s="5">
        <v>23</v>
      </c>
      <c r="AA27" s="6" t="s">
        <v>32</v>
      </c>
      <c r="AB27" s="6">
        <v>0</v>
      </c>
      <c r="AC27" s="6">
        <v>0.14599999999999999</v>
      </c>
      <c r="AD27" s="2">
        <f t="shared" si="8"/>
        <v>0.49300000000000022</v>
      </c>
      <c r="AE27" s="6">
        <v>0.14599999999999999</v>
      </c>
      <c r="AF27" s="6">
        <v>0.83799999999999997</v>
      </c>
      <c r="AH27" s="2">
        <f t="shared" si="9"/>
        <v>0.49300000000000022</v>
      </c>
      <c r="AI27" s="3">
        <f t="shared" si="3"/>
        <v>0.13333333333333333</v>
      </c>
      <c r="AJ27" s="3">
        <f t="shared" si="4"/>
        <v>8.3333333333333329E-2</v>
      </c>
      <c r="AK27" s="2">
        <f t="shared" si="5"/>
        <v>0.35966666666666691</v>
      </c>
      <c r="AN27" s="6">
        <v>0.56799999999999995</v>
      </c>
      <c r="AO27" s="6">
        <v>0.93799999999999994</v>
      </c>
      <c r="AR27" s="6">
        <v>0.93799999999999994</v>
      </c>
      <c r="AS27" s="6">
        <v>0.56799999999999995</v>
      </c>
      <c r="BA27" s="20">
        <f t="shared" si="10"/>
        <v>23</v>
      </c>
      <c r="BB27" s="6">
        <v>0.93799999999999994</v>
      </c>
      <c r="BC27" s="6">
        <v>0.56799999999999995</v>
      </c>
    </row>
    <row r="28" spans="1:55">
      <c r="A28" s="7">
        <f t="shared" si="6"/>
        <v>24</v>
      </c>
      <c r="B28" s="8" t="s">
        <v>32</v>
      </c>
      <c r="C28" s="8">
        <v>1</v>
      </c>
      <c r="D28" s="8">
        <v>0.95499999999999996</v>
      </c>
      <c r="F28">
        <v>84</v>
      </c>
      <c r="G28" t="s">
        <v>32</v>
      </c>
      <c r="H28">
        <v>0</v>
      </c>
      <c r="I28">
        <v>0.22900000000000001</v>
      </c>
      <c r="K28" s="10">
        <v>0.22900000000000001</v>
      </c>
      <c r="L28" s="8">
        <v>0.95499999999999996</v>
      </c>
      <c r="O28" s="2">
        <f t="shared" si="7"/>
        <v>0.30933333333333346</v>
      </c>
      <c r="P28" s="3">
        <f t="shared" si="0"/>
        <v>0.16666666666666666</v>
      </c>
      <c r="Q28" s="3">
        <f t="shared" si="1"/>
        <v>6.6666666666666666E-2</v>
      </c>
      <c r="R28" s="2">
        <f t="shared" si="2"/>
        <v>0.1426666666666668</v>
      </c>
      <c r="U28" s="7">
        <v>24</v>
      </c>
      <c r="V28" s="8" t="s">
        <v>32</v>
      </c>
      <c r="W28" s="8">
        <v>1</v>
      </c>
      <c r="X28" s="8">
        <v>1.0880000000000001</v>
      </c>
      <c r="Z28" s="7">
        <v>24</v>
      </c>
      <c r="AA28" s="8" t="s">
        <v>32</v>
      </c>
      <c r="AB28" s="8">
        <v>0</v>
      </c>
      <c r="AC28" s="8">
        <v>0.27600000000000002</v>
      </c>
      <c r="AD28" s="2">
        <f t="shared" si="8"/>
        <v>0.50600000000000023</v>
      </c>
      <c r="AE28" s="8">
        <v>0.27600000000000002</v>
      </c>
      <c r="AF28" s="8">
        <v>1.0880000000000001</v>
      </c>
      <c r="AH28" s="2">
        <f t="shared" si="9"/>
        <v>0.50600000000000023</v>
      </c>
      <c r="AI28" s="3">
        <f t="shared" si="3"/>
        <v>0.13333333333333333</v>
      </c>
      <c r="AJ28" s="3">
        <f t="shared" si="4"/>
        <v>8.3333333333333329E-2</v>
      </c>
      <c r="AK28" s="2">
        <f t="shared" si="5"/>
        <v>0.37266666666666692</v>
      </c>
      <c r="AN28" s="8">
        <v>0.51200000000000001</v>
      </c>
      <c r="AO28" s="8">
        <v>0.81399999999999995</v>
      </c>
      <c r="AR28" s="8">
        <v>0.81399999999999995</v>
      </c>
      <c r="AS28" s="8">
        <v>0.51200000000000001</v>
      </c>
      <c r="BA28" s="20">
        <f t="shared" si="10"/>
        <v>24</v>
      </c>
      <c r="BB28" s="8">
        <v>0.81399999999999995</v>
      </c>
      <c r="BC28" s="8">
        <v>0.51200000000000001</v>
      </c>
    </row>
    <row r="29" spans="1:55">
      <c r="A29" s="5">
        <f t="shared" si="6"/>
        <v>25</v>
      </c>
      <c r="B29" s="6" t="s">
        <v>32</v>
      </c>
      <c r="C29" s="6">
        <v>1</v>
      </c>
      <c r="D29" s="6">
        <v>0.45900000000000002</v>
      </c>
      <c r="F29">
        <v>85</v>
      </c>
      <c r="G29" t="s">
        <v>32</v>
      </c>
      <c r="H29">
        <v>0</v>
      </c>
      <c r="I29">
        <v>0.13200000000000001</v>
      </c>
      <c r="K29" s="9">
        <v>0.13200000000000001</v>
      </c>
      <c r="L29" s="6">
        <v>0.45900000000000002</v>
      </c>
      <c r="O29" s="2">
        <f t="shared" si="7"/>
        <v>0.32233333333333347</v>
      </c>
      <c r="P29" s="3">
        <f t="shared" si="0"/>
        <v>0.13333333333333333</v>
      </c>
      <c r="Q29" s="3">
        <f t="shared" si="1"/>
        <v>6.6666666666666666E-2</v>
      </c>
      <c r="R29" s="2">
        <f t="shared" si="2"/>
        <v>0.18900000000000014</v>
      </c>
      <c r="U29" s="5">
        <v>25</v>
      </c>
      <c r="V29" s="6" t="s">
        <v>32</v>
      </c>
      <c r="W29" s="6">
        <v>1</v>
      </c>
      <c r="X29" s="6">
        <v>0.79600000000000004</v>
      </c>
      <c r="Z29" s="5">
        <v>25</v>
      </c>
      <c r="AA29" s="6" t="s">
        <v>32</v>
      </c>
      <c r="AB29" s="6">
        <v>0</v>
      </c>
      <c r="AC29" s="6">
        <v>0.27900000000000003</v>
      </c>
      <c r="AD29" s="2">
        <f t="shared" si="8"/>
        <v>0.51900000000000024</v>
      </c>
      <c r="AE29" s="6">
        <v>0.27900000000000003</v>
      </c>
      <c r="AF29" s="6">
        <v>0.79600000000000004</v>
      </c>
      <c r="AH29" s="2">
        <f t="shared" si="9"/>
        <v>0.51900000000000024</v>
      </c>
      <c r="AI29" s="3">
        <f t="shared" si="3"/>
        <v>0.11666666666666667</v>
      </c>
      <c r="AJ29" s="3">
        <f t="shared" si="4"/>
        <v>8.3333333333333329E-2</v>
      </c>
      <c r="AK29" s="2">
        <f t="shared" si="5"/>
        <v>0.40233333333333354</v>
      </c>
      <c r="AN29" s="6">
        <v>0.68500000000000005</v>
      </c>
      <c r="AO29" s="6">
        <v>0.88300000000000001</v>
      </c>
      <c r="AR29" s="6">
        <v>0.88300000000000001</v>
      </c>
      <c r="AS29" s="6">
        <v>0.68500000000000005</v>
      </c>
      <c r="BA29" s="20">
        <f t="shared" si="10"/>
        <v>25</v>
      </c>
      <c r="BB29" s="6">
        <v>0.88300000000000001</v>
      </c>
      <c r="BC29" s="6">
        <v>0.68500000000000005</v>
      </c>
    </row>
    <row r="30" spans="1:55">
      <c r="A30" s="7">
        <f t="shared" si="6"/>
        <v>26</v>
      </c>
      <c r="B30" s="8" t="s">
        <v>32</v>
      </c>
      <c r="C30" s="8">
        <v>1</v>
      </c>
      <c r="D30" s="8">
        <v>0.55200000000000005</v>
      </c>
      <c r="F30">
        <v>86</v>
      </c>
      <c r="G30" t="s">
        <v>32</v>
      </c>
      <c r="H30">
        <v>0</v>
      </c>
      <c r="I30">
        <v>0.22800000000000001</v>
      </c>
      <c r="K30" s="10">
        <v>0.22800000000000001</v>
      </c>
      <c r="L30" s="8">
        <v>0.55200000000000005</v>
      </c>
      <c r="O30" s="2">
        <f t="shared" si="7"/>
        <v>0.33533333333333348</v>
      </c>
      <c r="P30" s="3">
        <f t="shared" si="0"/>
        <v>0.13333333333333333</v>
      </c>
      <c r="Q30" s="3">
        <f t="shared" si="1"/>
        <v>6.6666666666666666E-2</v>
      </c>
      <c r="R30" s="2">
        <f t="shared" si="2"/>
        <v>0.20200000000000015</v>
      </c>
      <c r="U30" s="7">
        <v>26</v>
      </c>
      <c r="V30" s="8" t="s">
        <v>32</v>
      </c>
      <c r="W30" s="8">
        <v>1</v>
      </c>
      <c r="X30" s="8">
        <v>1.4410000000000001</v>
      </c>
      <c r="Z30" s="7">
        <v>26</v>
      </c>
      <c r="AA30" s="8" t="s">
        <v>32</v>
      </c>
      <c r="AB30" s="8">
        <v>0</v>
      </c>
      <c r="AC30" s="8">
        <v>0.40400000000000003</v>
      </c>
      <c r="AD30" s="2">
        <f t="shared" si="8"/>
        <v>0.53200000000000025</v>
      </c>
      <c r="AE30" s="8">
        <v>0.40400000000000003</v>
      </c>
      <c r="AF30" s="8">
        <v>1.4410000000000001</v>
      </c>
      <c r="AH30" s="2">
        <f t="shared" si="9"/>
        <v>0.53200000000000025</v>
      </c>
      <c r="AI30" s="3">
        <f t="shared" si="3"/>
        <v>0.11666666666666667</v>
      </c>
      <c r="AJ30" s="3">
        <f t="shared" si="4"/>
        <v>0.1</v>
      </c>
      <c r="AK30" s="2">
        <f t="shared" si="5"/>
        <v>0.41533333333333355</v>
      </c>
      <c r="AN30" s="8">
        <v>0.64400000000000002</v>
      </c>
      <c r="AO30" s="8">
        <v>0.81399999999999995</v>
      </c>
      <c r="AR30" s="8">
        <v>0.81399999999999995</v>
      </c>
      <c r="AS30" s="8">
        <v>0.64400000000000002</v>
      </c>
      <c r="BA30" s="20">
        <f t="shared" si="10"/>
        <v>26</v>
      </c>
      <c r="BB30" s="8">
        <v>0.81399999999999995</v>
      </c>
      <c r="BC30" s="8">
        <v>0.64400000000000002</v>
      </c>
    </row>
    <row r="31" spans="1:55">
      <c r="A31" s="5">
        <f t="shared" si="6"/>
        <v>27</v>
      </c>
      <c r="B31" s="6" t="s">
        <v>32</v>
      </c>
      <c r="C31" s="6">
        <v>1</v>
      </c>
      <c r="D31" s="6">
        <v>0.94499999999999995</v>
      </c>
      <c r="F31">
        <v>87</v>
      </c>
      <c r="G31" t="s">
        <v>32</v>
      </c>
      <c r="H31">
        <v>0</v>
      </c>
      <c r="I31">
        <v>3.5999999999999997E-2</v>
      </c>
      <c r="K31" s="9">
        <v>3.5999999999999997E-2</v>
      </c>
      <c r="L31" s="6">
        <v>0.94499999999999995</v>
      </c>
      <c r="O31" s="2">
        <f t="shared" si="7"/>
        <v>0.34833333333333349</v>
      </c>
      <c r="P31" s="3">
        <f t="shared" si="0"/>
        <v>0.11666666666666667</v>
      </c>
      <c r="Q31" s="3">
        <f t="shared" si="1"/>
        <v>8.3333333333333329E-2</v>
      </c>
      <c r="R31" s="2">
        <f t="shared" si="2"/>
        <v>0.23166666666666683</v>
      </c>
      <c r="U31" s="5">
        <v>27</v>
      </c>
      <c r="V31" s="6" t="s">
        <v>32</v>
      </c>
      <c r="W31" s="6">
        <v>1</v>
      </c>
      <c r="X31" s="6">
        <v>1.2170000000000001</v>
      </c>
      <c r="Z31" s="5">
        <v>27</v>
      </c>
      <c r="AA31" s="6" t="s">
        <v>32</v>
      </c>
      <c r="AB31" s="6">
        <v>0</v>
      </c>
      <c r="AC31" s="6">
        <v>9.6000000000000002E-2</v>
      </c>
      <c r="AD31" s="2">
        <f t="shared" si="8"/>
        <v>0.54500000000000026</v>
      </c>
      <c r="AE31" s="6">
        <v>9.6000000000000002E-2</v>
      </c>
      <c r="AF31" s="6">
        <v>1.2170000000000001</v>
      </c>
      <c r="AH31" s="2">
        <f t="shared" si="9"/>
        <v>0.54500000000000026</v>
      </c>
      <c r="AI31" s="3">
        <f t="shared" si="3"/>
        <v>0.11666666666666667</v>
      </c>
      <c r="AJ31" s="3">
        <f t="shared" si="4"/>
        <v>0.1</v>
      </c>
      <c r="AK31" s="2">
        <f t="shared" si="5"/>
        <v>0.42833333333333357</v>
      </c>
      <c r="AN31" s="6">
        <v>0.51400000000000001</v>
      </c>
      <c r="AO31" s="6">
        <v>0.96499999999999997</v>
      </c>
      <c r="AR31" s="6">
        <v>0.96499999999999997</v>
      </c>
      <c r="AS31" s="6">
        <v>0.51400000000000001</v>
      </c>
      <c r="BA31" s="20">
        <f t="shared" si="10"/>
        <v>27</v>
      </c>
      <c r="BB31" s="6">
        <v>0.96499999999999997</v>
      </c>
      <c r="BC31" s="6">
        <v>0.51400000000000001</v>
      </c>
    </row>
    <row r="32" spans="1:55">
      <c r="A32" s="7">
        <f t="shared" si="6"/>
        <v>28</v>
      </c>
      <c r="B32" s="8" t="s">
        <v>32</v>
      </c>
      <c r="C32" s="8">
        <v>1</v>
      </c>
      <c r="D32" s="8">
        <v>0.45900000000000002</v>
      </c>
      <c r="F32">
        <v>88</v>
      </c>
      <c r="G32" t="s">
        <v>32</v>
      </c>
      <c r="H32">
        <v>0</v>
      </c>
      <c r="I32">
        <v>0.92100000000000004</v>
      </c>
      <c r="K32" s="10">
        <v>0.92100000000000004</v>
      </c>
      <c r="L32" s="8">
        <v>0.45900000000000002</v>
      </c>
      <c r="O32" s="2">
        <f t="shared" si="7"/>
        <v>0.36133333333333351</v>
      </c>
      <c r="P32" s="3">
        <f t="shared" si="0"/>
        <v>8.3333333333333329E-2</v>
      </c>
      <c r="Q32" s="3">
        <f t="shared" si="1"/>
        <v>8.3333333333333329E-2</v>
      </c>
      <c r="R32" s="2">
        <f t="shared" si="2"/>
        <v>0.27800000000000019</v>
      </c>
      <c r="U32" s="7">
        <v>28</v>
      </c>
      <c r="V32" s="8" t="s">
        <v>32</v>
      </c>
      <c r="W32" s="8">
        <v>1</v>
      </c>
      <c r="X32" s="8">
        <v>0.79600000000000004</v>
      </c>
      <c r="Z32" s="7">
        <v>28</v>
      </c>
      <c r="AA32" s="8" t="s">
        <v>32</v>
      </c>
      <c r="AB32" s="8">
        <v>0</v>
      </c>
      <c r="AC32" s="8">
        <v>1.341</v>
      </c>
      <c r="AD32" s="2">
        <f t="shared" si="8"/>
        <v>0.55800000000000027</v>
      </c>
      <c r="AE32" s="8">
        <v>1.341</v>
      </c>
      <c r="AF32" s="8">
        <v>0.79600000000000004</v>
      </c>
      <c r="AH32" s="2">
        <f t="shared" si="9"/>
        <v>0.55800000000000027</v>
      </c>
      <c r="AI32" s="3">
        <f t="shared" si="3"/>
        <v>0.11666666666666667</v>
      </c>
      <c r="AJ32" s="3">
        <f t="shared" si="4"/>
        <v>0.11666666666666667</v>
      </c>
      <c r="AK32" s="2">
        <f t="shared" si="5"/>
        <v>0.44133333333333358</v>
      </c>
      <c r="AN32" s="8">
        <v>0.68500000000000005</v>
      </c>
      <c r="AO32" s="8">
        <v>0.52</v>
      </c>
      <c r="AR32" s="8">
        <v>0.52</v>
      </c>
      <c r="AS32" s="8">
        <v>0.68500000000000005</v>
      </c>
      <c r="BA32" s="20">
        <f t="shared" si="10"/>
        <v>28</v>
      </c>
      <c r="BB32" s="8">
        <v>0.52</v>
      </c>
      <c r="BC32" s="8">
        <v>0.68500000000000005</v>
      </c>
    </row>
    <row r="33" spans="1:55">
      <c r="A33" s="5">
        <f t="shared" si="6"/>
        <v>29</v>
      </c>
      <c r="B33" s="6" t="s">
        <v>32</v>
      </c>
      <c r="C33" s="6">
        <v>1</v>
      </c>
      <c r="D33" s="6">
        <v>0.55200000000000005</v>
      </c>
      <c r="F33">
        <v>89</v>
      </c>
      <c r="G33" t="s">
        <v>32</v>
      </c>
      <c r="H33">
        <v>0</v>
      </c>
      <c r="I33">
        <v>0.67800000000000005</v>
      </c>
      <c r="K33" s="9">
        <v>0.67800000000000005</v>
      </c>
      <c r="L33" s="6">
        <v>0.55200000000000005</v>
      </c>
      <c r="O33" s="2">
        <f t="shared" si="7"/>
        <v>0.37433333333333352</v>
      </c>
      <c r="P33" s="3">
        <f t="shared" si="0"/>
        <v>6.6666666666666666E-2</v>
      </c>
      <c r="Q33" s="3">
        <f t="shared" si="1"/>
        <v>8.3333333333333329E-2</v>
      </c>
      <c r="R33" s="2">
        <f t="shared" si="2"/>
        <v>0.30766666666666687</v>
      </c>
      <c r="U33" s="5">
        <v>29</v>
      </c>
      <c r="V33" s="6" t="s">
        <v>32</v>
      </c>
      <c r="W33" s="6">
        <v>1</v>
      </c>
      <c r="X33" s="6">
        <v>1.4410000000000001</v>
      </c>
      <c r="Z33" s="5">
        <v>29</v>
      </c>
      <c r="AA33" s="6" t="s">
        <v>32</v>
      </c>
      <c r="AB33" s="6">
        <v>0</v>
      </c>
      <c r="AC33" s="6">
        <v>0.89500000000000002</v>
      </c>
      <c r="AD33" s="2">
        <f t="shared" si="8"/>
        <v>0.57100000000000029</v>
      </c>
      <c r="AE33" s="6">
        <v>0.89500000000000002</v>
      </c>
      <c r="AF33" s="6">
        <v>1.4410000000000001</v>
      </c>
      <c r="AH33" s="2">
        <f t="shared" si="9"/>
        <v>0.57100000000000029</v>
      </c>
      <c r="AI33" s="3">
        <f t="shared" si="3"/>
        <v>0.11666666666666667</v>
      </c>
      <c r="AJ33" s="3">
        <f t="shared" si="4"/>
        <v>0.13333333333333333</v>
      </c>
      <c r="AK33" s="2">
        <f t="shared" si="5"/>
        <v>0.45433333333333359</v>
      </c>
      <c r="AN33" s="6">
        <v>0.64400000000000002</v>
      </c>
      <c r="AO33" s="6">
        <v>0.59599999999999997</v>
      </c>
      <c r="AR33" s="6">
        <v>0.59599999999999997</v>
      </c>
      <c r="AS33" s="6">
        <v>0.64400000000000002</v>
      </c>
      <c r="BA33" s="20">
        <f t="shared" si="10"/>
        <v>29</v>
      </c>
      <c r="BB33" s="6">
        <v>0.59599999999999997</v>
      </c>
      <c r="BC33" s="6">
        <v>0.64400000000000002</v>
      </c>
    </row>
    <row r="34" spans="1:55">
      <c r="A34" s="7">
        <f t="shared" si="6"/>
        <v>30</v>
      </c>
      <c r="B34" s="8" t="s">
        <v>32</v>
      </c>
      <c r="C34" s="8">
        <v>1</v>
      </c>
      <c r="D34" s="8">
        <v>0.94499999999999995</v>
      </c>
      <c r="F34">
        <v>90</v>
      </c>
      <c r="G34" t="s">
        <v>32</v>
      </c>
      <c r="H34">
        <v>0</v>
      </c>
      <c r="I34">
        <v>0.61599999999999999</v>
      </c>
      <c r="K34" s="10">
        <v>0.61599999999999999</v>
      </c>
      <c r="L34" s="8">
        <v>0.94499999999999995</v>
      </c>
      <c r="O34" s="2">
        <f t="shared" si="7"/>
        <v>0.38733333333333353</v>
      </c>
      <c r="P34" s="3">
        <f t="shared" si="0"/>
        <v>6.6666666666666666E-2</v>
      </c>
      <c r="Q34" s="3">
        <f t="shared" si="1"/>
        <v>0.1</v>
      </c>
      <c r="R34" s="2">
        <f t="shared" si="2"/>
        <v>0.32066666666666688</v>
      </c>
      <c r="U34" s="7">
        <v>30</v>
      </c>
      <c r="V34" s="8" t="s">
        <v>32</v>
      </c>
      <c r="W34" s="8">
        <v>1</v>
      </c>
      <c r="X34" s="8">
        <v>1.2170000000000001</v>
      </c>
      <c r="Z34" s="7">
        <v>30</v>
      </c>
      <c r="AA34" s="8" t="s">
        <v>32</v>
      </c>
      <c r="AB34" s="8">
        <v>0</v>
      </c>
      <c r="AC34" s="8">
        <v>0.83699999999999997</v>
      </c>
      <c r="AD34" s="2">
        <f t="shared" si="8"/>
        <v>0.5840000000000003</v>
      </c>
      <c r="AE34" s="8">
        <v>0.83699999999999997</v>
      </c>
      <c r="AF34" s="8">
        <v>1.2170000000000001</v>
      </c>
      <c r="AH34" s="2">
        <f t="shared" si="9"/>
        <v>0.5840000000000003</v>
      </c>
      <c r="AI34" s="3">
        <f t="shared" si="3"/>
        <v>0.1</v>
      </c>
      <c r="AJ34" s="3">
        <f t="shared" si="4"/>
        <v>0.13333333333333333</v>
      </c>
      <c r="AK34" s="2">
        <f t="shared" si="5"/>
        <v>0.48400000000000032</v>
      </c>
      <c r="AN34" s="8">
        <v>0.51400000000000001</v>
      </c>
      <c r="AO34" s="8">
        <v>0.61899999999999999</v>
      </c>
      <c r="AR34" s="8">
        <v>0.61899999999999999</v>
      </c>
      <c r="AS34" s="8">
        <v>0.51400000000000001</v>
      </c>
      <c r="BA34" s="20">
        <f t="shared" si="10"/>
        <v>30</v>
      </c>
      <c r="BB34" s="8">
        <v>0.61899999999999999</v>
      </c>
      <c r="BC34" s="8">
        <v>0.51400000000000001</v>
      </c>
    </row>
    <row r="35" spans="1:55">
      <c r="A35" s="5">
        <f t="shared" si="6"/>
        <v>31</v>
      </c>
      <c r="B35" s="6" t="s">
        <v>35</v>
      </c>
      <c r="C35" s="6">
        <v>1</v>
      </c>
      <c r="D35" s="6">
        <v>0.58399999999999996</v>
      </c>
      <c r="F35">
        <v>91</v>
      </c>
      <c r="G35" t="s">
        <v>35</v>
      </c>
      <c r="H35">
        <v>0</v>
      </c>
      <c r="I35">
        <v>0.26</v>
      </c>
      <c r="K35" s="9">
        <v>0.26</v>
      </c>
      <c r="L35" s="6">
        <v>0.58399999999999996</v>
      </c>
      <c r="O35" s="2">
        <f t="shared" si="7"/>
        <v>0.40033333333333354</v>
      </c>
      <c r="P35" s="3">
        <f t="shared" si="0"/>
        <v>6.6666666666666666E-2</v>
      </c>
      <c r="Q35" s="3">
        <f t="shared" si="1"/>
        <v>0.1</v>
      </c>
      <c r="R35" s="2">
        <f t="shared" si="2"/>
        <v>0.33366666666666689</v>
      </c>
      <c r="U35" s="5">
        <v>31</v>
      </c>
      <c r="V35" s="6" t="s">
        <v>35</v>
      </c>
      <c r="W35" s="6">
        <v>1</v>
      </c>
      <c r="X35" s="6">
        <v>0.63100000000000001</v>
      </c>
      <c r="Z35" s="5">
        <v>31</v>
      </c>
      <c r="AA35" s="6" t="s">
        <v>35</v>
      </c>
      <c r="AB35" s="6">
        <v>0</v>
      </c>
      <c r="AC35" s="6">
        <v>0.33700000000000002</v>
      </c>
      <c r="AD35" s="2">
        <f t="shared" si="8"/>
        <v>0.59700000000000031</v>
      </c>
      <c r="AE35" s="6">
        <v>0.33700000000000002</v>
      </c>
      <c r="AF35" s="6">
        <v>0.63100000000000001</v>
      </c>
      <c r="AH35" s="2">
        <f t="shared" si="9"/>
        <v>0.59700000000000031</v>
      </c>
      <c r="AI35" s="3">
        <f t="shared" si="3"/>
        <v>0.1</v>
      </c>
      <c r="AJ35" s="3">
        <f t="shared" si="4"/>
        <v>0.13333333333333333</v>
      </c>
      <c r="AK35" s="2">
        <f t="shared" si="5"/>
        <v>0.49700000000000033</v>
      </c>
      <c r="AN35" s="6">
        <v>0.63100000000000001</v>
      </c>
      <c r="AO35" s="6">
        <v>0.79400000000000004</v>
      </c>
      <c r="AR35" s="6">
        <v>0.79400000000000004</v>
      </c>
      <c r="AS35" s="6">
        <v>0.63100000000000001</v>
      </c>
      <c r="BA35" s="20">
        <f t="shared" si="10"/>
        <v>31</v>
      </c>
      <c r="BB35" s="6">
        <v>0.79400000000000004</v>
      </c>
      <c r="BC35" s="6">
        <v>0.63100000000000001</v>
      </c>
    </row>
    <row r="36" spans="1:55">
      <c r="A36" s="7">
        <f t="shared" si="6"/>
        <v>32</v>
      </c>
      <c r="B36" s="8" t="s">
        <v>35</v>
      </c>
      <c r="C36" s="8">
        <v>1</v>
      </c>
      <c r="D36" s="8">
        <v>1.9770000000000001</v>
      </c>
      <c r="F36">
        <v>92</v>
      </c>
      <c r="G36" t="s">
        <v>35</v>
      </c>
      <c r="H36">
        <v>0</v>
      </c>
      <c r="I36">
        <v>4.5999999999999999E-2</v>
      </c>
      <c r="K36" s="10">
        <v>4.5999999999999999E-2</v>
      </c>
      <c r="L36" s="8">
        <v>1.9770000000000001</v>
      </c>
      <c r="O36" s="2">
        <f t="shared" si="7"/>
        <v>0.41333333333333355</v>
      </c>
      <c r="P36" s="3">
        <f t="shared" si="0"/>
        <v>6.6666666666666666E-2</v>
      </c>
      <c r="Q36" s="3">
        <f t="shared" si="1"/>
        <v>0.11666666666666667</v>
      </c>
      <c r="R36" s="2">
        <f t="shared" si="2"/>
        <v>0.3466666666666669</v>
      </c>
      <c r="U36" s="7">
        <v>32</v>
      </c>
      <c r="V36" s="8" t="s">
        <v>35</v>
      </c>
      <c r="W36" s="8">
        <v>1</v>
      </c>
      <c r="X36" s="8">
        <v>6.0709999999999997</v>
      </c>
      <c r="Z36" s="7">
        <v>32</v>
      </c>
      <c r="AA36" s="8" t="s">
        <v>35</v>
      </c>
      <c r="AB36" s="8">
        <v>0</v>
      </c>
      <c r="AC36" s="8">
        <v>7.2999999999999995E-2</v>
      </c>
      <c r="AD36" s="2">
        <f t="shared" si="8"/>
        <v>0.61000000000000032</v>
      </c>
      <c r="AE36" s="8">
        <v>7.2999999999999995E-2</v>
      </c>
      <c r="AF36" s="8">
        <v>6.0709999999999997</v>
      </c>
      <c r="AH36" s="2">
        <f t="shared" si="9"/>
        <v>0.61000000000000032</v>
      </c>
      <c r="AI36" s="3">
        <f t="shared" si="3"/>
        <v>0.1</v>
      </c>
      <c r="AJ36" s="3">
        <f t="shared" si="4"/>
        <v>0.15</v>
      </c>
      <c r="AK36" s="2">
        <f t="shared" si="5"/>
        <v>0.51000000000000034</v>
      </c>
      <c r="AN36" s="8">
        <v>0.33600000000000002</v>
      </c>
      <c r="AO36" s="8">
        <v>0.95599999999999996</v>
      </c>
      <c r="AR36" s="8">
        <v>0.95599999999999996</v>
      </c>
      <c r="AS36" s="8">
        <v>0.33600000000000002</v>
      </c>
      <c r="BA36" s="20">
        <f t="shared" si="10"/>
        <v>32</v>
      </c>
      <c r="BB36" s="8">
        <v>0.95599999999999996</v>
      </c>
      <c r="BC36" s="8">
        <v>0.33600000000000002</v>
      </c>
    </row>
    <row r="37" spans="1:55">
      <c r="A37" s="5">
        <f t="shared" si="6"/>
        <v>33</v>
      </c>
      <c r="B37" s="6" t="s">
        <v>35</v>
      </c>
      <c r="C37" s="6">
        <v>1</v>
      </c>
      <c r="D37" s="6">
        <v>0.58599999999999997</v>
      </c>
      <c r="F37">
        <v>93</v>
      </c>
      <c r="G37" t="s">
        <v>35</v>
      </c>
      <c r="H37">
        <v>0</v>
      </c>
      <c r="I37">
        <v>0.28199999999999997</v>
      </c>
      <c r="K37" s="9">
        <v>0.28199999999999997</v>
      </c>
      <c r="L37" s="6">
        <v>0.58599999999999997</v>
      </c>
      <c r="O37" s="2">
        <f t="shared" si="7"/>
        <v>0.42633333333333356</v>
      </c>
      <c r="P37" s="3">
        <f t="shared" ref="P37:P64" si="11">COUNTIF($K$5:$K$64, "&gt;" &amp; O37) / COUNTA($K$5:$K$64)</f>
        <v>6.6666666666666666E-2</v>
      </c>
      <c r="Q37" s="3">
        <f t="shared" ref="Q37:Q64" si="12">COUNTIF($L$5:$L$64, "&lt;" &amp; O37) / COUNTA($L$5:$L$64)</f>
        <v>0.11666666666666667</v>
      </c>
      <c r="R37" s="2">
        <f t="shared" ref="R37:R64" si="13">ABS(O37-P37)</f>
        <v>0.35966666666666691</v>
      </c>
      <c r="U37" s="5">
        <v>33</v>
      </c>
      <c r="V37" s="6" t="s">
        <v>35</v>
      </c>
      <c r="W37" s="6">
        <v>1</v>
      </c>
      <c r="X37" s="6">
        <v>0.65100000000000002</v>
      </c>
      <c r="Z37" s="5">
        <v>33</v>
      </c>
      <c r="AA37" s="6" t="s">
        <v>35</v>
      </c>
      <c r="AB37" s="6">
        <v>0</v>
      </c>
      <c r="AC37" s="6">
        <v>0.42199999999999999</v>
      </c>
      <c r="AD37" s="2">
        <f t="shared" si="8"/>
        <v>0.62300000000000033</v>
      </c>
      <c r="AE37" s="6">
        <v>0.42199999999999999</v>
      </c>
      <c r="AF37" s="6">
        <v>0.65100000000000002</v>
      </c>
      <c r="AH37" s="2">
        <f t="shared" si="9"/>
        <v>0.62300000000000033</v>
      </c>
      <c r="AI37" s="3">
        <f t="shared" ref="AI37:AI64" si="14">COUNTIF($AC$5:$AC$64, "&gt;" &amp; AH37) / COUNTA($AC$5:$AC$64)</f>
        <v>0.1</v>
      </c>
      <c r="AJ37" s="3">
        <f t="shared" ref="AJ37:AJ64" si="15">COUNTIF($AF$5:$AF$64, "&lt;" &amp; AH37) / COUNTA($AF$5:$AF$64)</f>
        <v>0.15</v>
      </c>
      <c r="AK37" s="2">
        <f t="shared" ref="AK37:AK64" si="16">ABS(AH37-AI37)</f>
        <v>0.52300000000000035</v>
      </c>
      <c r="AN37" s="6">
        <v>0.63</v>
      </c>
      <c r="AO37" s="6">
        <v>0.78</v>
      </c>
      <c r="AR37" s="6">
        <v>0.78</v>
      </c>
      <c r="AS37" s="6">
        <v>0.63</v>
      </c>
      <c r="BA37" s="20">
        <f t="shared" si="10"/>
        <v>33</v>
      </c>
      <c r="BB37" s="6">
        <v>0.78</v>
      </c>
      <c r="BC37" s="6">
        <v>0.63</v>
      </c>
    </row>
    <row r="38" spans="1:55">
      <c r="A38" s="7">
        <f t="shared" ref="A38:A64" si="17">A37+1</f>
        <v>34</v>
      </c>
      <c r="B38" s="8" t="s">
        <v>35</v>
      </c>
      <c r="C38" s="8">
        <v>1</v>
      </c>
      <c r="D38" s="8">
        <v>0.60399999999999998</v>
      </c>
      <c r="F38">
        <v>94</v>
      </c>
      <c r="G38" t="s">
        <v>35</v>
      </c>
      <c r="H38">
        <v>0</v>
      </c>
      <c r="I38">
        <v>0.157</v>
      </c>
      <c r="K38" s="10">
        <v>0.157</v>
      </c>
      <c r="L38" s="8">
        <v>0.60399999999999998</v>
      </c>
      <c r="O38" s="2">
        <f t="shared" si="7"/>
        <v>0.43933333333333358</v>
      </c>
      <c r="P38" s="3">
        <f t="shared" si="11"/>
        <v>6.6666666666666666E-2</v>
      </c>
      <c r="Q38" s="3">
        <f t="shared" si="12"/>
        <v>0.15</v>
      </c>
      <c r="R38" s="2">
        <f t="shared" si="13"/>
        <v>0.37266666666666692</v>
      </c>
      <c r="U38" s="7">
        <v>34</v>
      </c>
      <c r="V38" s="8" t="s">
        <v>35</v>
      </c>
      <c r="W38" s="8">
        <v>1</v>
      </c>
      <c r="X38" s="8">
        <v>1.091</v>
      </c>
      <c r="Z38" s="7">
        <v>34</v>
      </c>
      <c r="AA38" s="8" t="s">
        <v>35</v>
      </c>
      <c r="AB38" s="8">
        <v>0</v>
      </c>
      <c r="AC38" s="8">
        <v>0.39100000000000001</v>
      </c>
      <c r="AD38" s="2">
        <f t="shared" si="8"/>
        <v>0.63600000000000034</v>
      </c>
      <c r="AE38" s="8">
        <v>0.39100000000000001</v>
      </c>
      <c r="AF38" s="8">
        <v>1.091</v>
      </c>
      <c r="AH38" s="2">
        <f t="shared" si="9"/>
        <v>0.63600000000000034</v>
      </c>
      <c r="AI38" s="3">
        <f t="shared" si="14"/>
        <v>0.1</v>
      </c>
      <c r="AJ38" s="3">
        <f t="shared" si="15"/>
        <v>0.18333333333333332</v>
      </c>
      <c r="AK38" s="2">
        <f t="shared" si="16"/>
        <v>0.53600000000000037</v>
      </c>
      <c r="AN38" s="8">
        <v>0.623</v>
      </c>
      <c r="AO38" s="8">
        <v>0.86499999999999999</v>
      </c>
      <c r="AR38" s="8">
        <v>0.86499999999999999</v>
      </c>
      <c r="AS38" s="8">
        <v>0.623</v>
      </c>
      <c r="BA38" s="20">
        <f t="shared" si="10"/>
        <v>34</v>
      </c>
      <c r="BB38" s="8">
        <v>0.86499999999999999</v>
      </c>
      <c r="BC38" s="8">
        <v>0.623</v>
      </c>
    </row>
    <row r="39" spans="1:55">
      <c r="A39" s="5">
        <f t="shared" si="17"/>
        <v>35</v>
      </c>
      <c r="B39" s="6" t="s">
        <v>35</v>
      </c>
      <c r="C39" s="6">
        <v>1</v>
      </c>
      <c r="D39" s="6">
        <v>0.63200000000000001</v>
      </c>
      <c r="F39">
        <v>95</v>
      </c>
      <c r="G39" t="s">
        <v>35</v>
      </c>
      <c r="H39">
        <v>0</v>
      </c>
      <c r="I39">
        <v>0.32200000000000001</v>
      </c>
      <c r="K39" s="9">
        <v>0.32200000000000001</v>
      </c>
      <c r="L39" s="6">
        <v>0.63200000000000001</v>
      </c>
      <c r="O39" s="2">
        <f t="shared" ref="O39:O64" si="18">O38+0.013</f>
        <v>0.45233333333333359</v>
      </c>
      <c r="P39" s="3">
        <f t="shared" si="11"/>
        <v>6.6666666666666666E-2</v>
      </c>
      <c r="Q39" s="3">
        <f t="shared" si="12"/>
        <v>0.15</v>
      </c>
      <c r="R39" s="2">
        <f t="shared" si="13"/>
        <v>0.38566666666666694</v>
      </c>
      <c r="U39" s="5">
        <v>35</v>
      </c>
      <c r="V39" s="6" t="s">
        <v>35</v>
      </c>
      <c r="W39" s="6">
        <v>1</v>
      </c>
      <c r="X39" s="6">
        <v>1.157</v>
      </c>
      <c r="Z39" s="5">
        <v>35</v>
      </c>
      <c r="AA39" s="6" t="s">
        <v>35</v>
      </c>
      <c r="AB39" s="6">
        <v>0</v>
      </c>
      <c r="AC39" s="6">
        <v>0.38500000000000001</v>
      </c>
      <c r="AD39" s="2">
        <f t="shared" ref="AD39:AD64" si="19">AD38+0.013</f>
        <v>0.64900000000000035</v>
      </c>
      <c r="AE39" s="6">
        <v>0.38500000000000001</v>
      </c>
      <c r="AF39" s="6">
        <v>1.157</v>
      </c>
      <c r="AH39" s="2">
        <f t="shared" ref="AH39:AH64" si="20">AH38+0.013</f>
        <v>0.64900000000000035</v>
      </c>
      <c r="AI39" s="3">
        <f t="shared" si="14"/>
        <v>0.1</v>
      </c>
      <c r="AJ39" s="3">
        <f t="shared" si="15"/>
        <v>0.2</v>
      </c>
      <c r="AK39" s="2">
        <f t="shared" si="16"/>
        <v>0.54900000000000038</v>
      </c>
      <c r="AN39" s="6">
        <v>0.61299999999999999</v>
      </c>
      <c r="AO39" s="6">
        <v>0.75600000000000001</v>
      </c>
      <c r="AR39" s="6">
        <v>0.75600000000000001</v>
      </c>
      <c r="AS39" s="6">
        <v>0.61299999999999999</v>
      </c>
      <c r="BA39" s="20">
        <f t="shared" si="10"/>
        <v>35</v>
      </c>
      <c r="BB39" s="6">
        <v>0.75600000000000001</v>
      </c>
      <c r="BC39" s="6">
        <v>0.61299999999999999</v>
      </c>
    </row>
    <row r="40" spans="1:55">
      <c r="A40" s="7">
        <f t="shared" si="17"/>
        <v>36</v>
      </c>
      <c r="B40" s="8" t="s">
        <v>35</v>
      </c>
      <c r="C40" s="8">
        <v>1</v>
      </c>
      <c r="D40" s="8">
        <v>0.52900000000000003</v>
      </c>
      <c r="F40">
        <v>96</v>
      </c>
      <c r="G40" t="s">
        <v>35</v>
      </c>
      <c r="H40">
        <v>0</v>
      </c>
      <c r="I40">
        <v>0.219</v>
      </c>
      <c r="K40" s="10">
        <v>0.219</v>
      </c>
      <c r="L40" s="8">
        <v>0.52900000000000003</v>
      </c>
      <c r="O40" s="2">
        <f t="shared" si="18"/>
        <v>0.4653333333333336</v>
      </c>
      <c r="P40" s="3">
        <f t="shared" si="11"/>
        <v>6.6666666666666666E-2</v>
      </c>
      <c r="Q40" s="3">
        <f t="shared" si="12"/>
        <v>0.2</v>
      </c>
      <c r="R40" s="2">
        <f t="shared" si="13"/>
        <v>0.39866666666666695</v>
      </c>
      <c r="U40" s="7">
        <v>36</v>
      </c>
      <c r="V40" s="8" t="s">
        <v>35</v>
      </c>
      <c r="W40" s="8">
        <v>1</v>
      </c>
      <c r="X40" s="8">
        <v>0.77</v>
      </c>
      <c r="Z40" s="7">
        <v>36</v>
      </c>
      <c r="AA40" s="8" t="s">
        <v>35</v>
      </c>
      <c r="AB40" s="8">
        <v>0</v>
      </c>
      <c r="AC40" s="8">
        <v>0.29499999999999998</v>
      </c>
      <c r="AD40" s="2">
        <f t="shared" si="19"/>
        <v>0.66200000000000037</v>
      </c>
      <c r="AE40" s="8">
        <v>0.29499999999999998</v>
      </c>
      <c r="AF40" s="8">
        <v>0.77</v>
      </c>
      <c r="AH40" s="2">
        <f t="shared" si="20"/>
        <v>0.66200000000000037</v>
      </c>
      <c r="AI40" s="3">
        <f t="shared" si="14"/>
        <v>0.1</v>
      </c>
      <c r="AJ40" s="3">
        <f t="shared" si="15"/>
        <v>0.21666666666666667</v>
      </c>
      <c r="AK40" s="2">
        <f t="shared" si="16"/>
        <v>0.56200000000000039</v>
      </c>
      <c r="AN40" s="8">
        <v>0.65400000000000003</v>
      </c>
      <c r="AO40" s="8">
        <v>0.82</v>
      </c>
      <c r="AR40" s="8">
        <v>0.82</v>
      </c>
      <c r="AS40" s="8">
        <v>0.65400000000000003</v>
      </c>
      <c r="BA40" s="20">
        <f t="shared" si="10"/>
        <v>36</v>
      </c>
      <c r="BB40" s="8">
        <v>0.82</v>
      </c>
      <c r="BC40" s="8">
        <v>0.65400000000000003</v>
      </c>
    </row>
    <row r="41" spans="1:55">
      <c r="A41" s="5">
        <f t="shared" si="17"/>
        <v>37</v>
      </c>
      <c r="B41" s="6" t="s">
        <v>35</v>
      </c>
      <c r="C41" s="6">
        <v>1</v>
      </c>
      <c r="D41" s="6">
        <v>0.433</v>
      </c>
      <c r="F41">
        <v>97</v>
      </c>
      <c r="G41" t="s">
        <v>35</v>
      </c>
      <c r="H41">
        <v>0</v>
      </c>
      <c r="I41">
        <v>0.248</v>
      </c>
      <c r="K41" s="9">
        <v>0.248</v>
      </c>
      <c r="L41" s="6">
        <v>0.433</v>
      </c>
      <c r="O41" s="2">
        <f t="shared" si="18"/>
        <v>0.47833333333333361</v>
      </c>
      <c r="P41" s="3">
        <f t="shared" si="11"/>
        <v>6.6666666666666666E-2</v>
      </c>
      <c r="Q41" s="3">
        <f t="shared" si="12"/>
        <v>0.23333333333333334</v>
      </c>
      <c r="R41" s="2">
        <f t="shared" si="13"/>
        <v>0.41166666666666696</v>
      </c>
      <c r="U41" s="5">
        <v>37</v>
      </c>
      <c r="V41" s="6" t="s">
        <v>35</v>
      </c>
      <c r="W41" s="6">
        <v>1</v>
      </c>
      <c r="X41" s="6">
        <v>1.111</v>
      </c>
      <c r="Z41" s="5">
        <v>37</v>
      </c>
      <c r="AA41" s="6" t="s">
        <v>35</v>
      </c>
      <c r="AB41" s="6">
        <v>0</v>
      </c>
      <c r="AC41" s="6">
        <v>0.28999999999999998</v>
      </c>
      <c r="AD41" s="2">
        <f t="shared" si="19"/>
        <v>0.67500000000000038</v>
      </c>
      <c r="AE41" s="6">
        <v>0.28999999999999998</v>
      </c>
      <c r="AF41" s="6">
        <v>1.111</v>
      </c>
      <c r="AH41" s="2">
        <f t="shared" si="20"/>
        <v>0.67500000000000038</v>
      </c>
      <c r="AI41" s="3">
        <f t="shared" si="14"/>
        <v>0.1</v>
      </c>
      <c r="AJ41" s="3">
        <f t="shared" si="15"/>
        <v>0.23333333333333334</v>
      </c>
      <c r="AK41" s="2">
        <f t="shared" si="16"/>
        <v>0.5750000000000004</v>
      </c>
      <c r="AN41" s="6">
        <v>0.69799999999999995</v>
      </c>
      <c r="AO41" s="6">
        <v>0.80100000000000005</v>
      </c>
      <c r="AR41" s="6">
        <v>0.80100000000000005</v>
      </c>
      <c r="AS41" s="6">
        <v>0.69799999999999995</v>
      </c>
      <c r="BA41" s="20">
        <f t="shared" si="10"/>
        <v>37</v>
      </c>
      <c r="BB41" s="6">
        <v>0.80100000000000005</v>
      </c>
      <c r="BC41" s="6">
        <v>0.69799999999999995</v>
      </c>
    </row>
    <row r="42" spans="1:55">
      <c r="A42" s="7">
        <f t="shared" si="17"/>
        <v>38</v>
      </c>
      <c r="B42" s="8" t="s">
        <v>35</v>
      </c>
      <c r="C42" s="8">
        <v>1</v>
      </c>
      <c r="D42" s="8">
        <v>0.376</v>
      </c>
      <c r="F42">
        <v>98</v>
      </c>
      <c r="G42" t="s">
        <v>35</v>
      </c>
      <c r="H42">
        <v>0</v>
      </c>
      <c r="I42">
        <v>9.1790000000000003</v>
      </c>
      <c r="K42" s="10">
        <v>9.1790000000000003</v>
      </c>
      <c r="L42" s="8">
        <v>0.376</v>
      </c>
      <c r="O42" s="2">
        <f t="shared" si="18"/>
        <v>0.49133333333333362</v>
      </c>
      <c r="P42" s="3">
        <f t="shared" si="11"/>
        <v>6.6666666666666666E-2</v>
      </c>
      <c r="Q42" s="3">
        <f t="shared" si="12"/>
        <v>0.25</v>
      </c>
      <c r="R42" s="2">
        <f t="shared" si="13"/>
        <v>0.42466666666666697</v>
      </c>
      <c r="U42" s="7">
        <v>38</v>
      </c>
      <c r="V42" s="8" t="s">
        <v>35</v>
      </c>
      <c r="W42" s="8">
        <v>1</v>
      </c>
      <c r="X42" s="8">
        <v>0.41499999999999998</v>
      </c>
      <c r="Z42" s="7">
        <v>38</v>
      </c>
      <c r="AA42" s="8" t="s">
        <v>35</v>
      </c>
      <c r="AB42" s="8">
        <v>0</v>
      </c>
      <c r="AC42" s="8">
        <v>35.81</v>
      </c>
      <c r="AD42" s="2">
        <f t="shared" si="19"/>
        <v>0.68800000000000039</v>
      </c>
      <c r="AE42" s="8">
        <v>35.81</v>
      </c>
      <c r="AF42" s="8">
        <v>0.41499999999999998</v>
      </c>
      <c r="AH42" s="2">
        <f t="shared" si="20"/>
        <v>0.68800000000000039</v>
      </c>
      <c r="AI42" s="3">
        <f t="shared" si="14"/>
        <v>0.1</v>
      </c>
      <c r="AJ42" s="3">
        <f t="shared" si="15"/>
        <v>0.23333333333333334</v>
      </c>
      <c r="AK42" s="2">
        <f t="shared" si="16"/>
        <v>0.58800000000000041</v>
      </c>
      <c r="AN42" s="8">
        <v>0.72699999999999998</v>
      </c>
      <c r="AO42" s="8">
        <v>9.8000000000000004E-2</v>
      </c>
      <c r="AR42" s="8">
        <v>9.8000000000000004E-2</v>
      </c>
      <c r="AS42" s="8">
        <v>0.72699999999999998</v>
      </c>
      <c r="BA42" s="20">
        <f t="shared" si="10"/>
        <v>38</v>
      </c>
      <c r="BB42" s="8">
        <v>9.8000000000000004E-2</v>
      </c>
      <c r="BC42" s="8">
        <v>0.72699999999999998</v>
      </c>
    </row>
    <row r="43" spans="1:55">
      <c r="A43" s="5">
        <f t="shared" si="17"/>
        <v>39</v>
      </c>
      <c r="B43" s="6" t="s">
        <v>35</v>
      </c>
      <c r="C43" s="6">
        <v>1</v>
      </c>
      <c r="D43" s="6">
        <v>0.46700000000000003</v>
      </c>
      <c r="F43">
        <v>99</v>
      </c>
      <c r="G43" t="s">
        <v>35</v>
      </c>
      <c r="H43">
        <v>0</v>
      </c>
      <c r="I43">
        <v>0.17699999999999999</v>
      </c>
      <c r="K43" s="9">
        <v>0.17699999999999999</v>
      </c>
      <c r="L43" s="6">
        <v>0.46700000000000003</v>
      </c>
      <c r="O43" s="2">
        <f t="shared" si="18"/>
        <v>0.50433333333333363</v>
      </c>
      <c r="P43" s="3">
        <f t="shared" si="11"/>
        <v>6.6666666666666666E-2</v>
      </c>
      <c r="Q43" s="3">
        <f t="shared" si="12"/>
        <v>0.25</v>
      </c>
      <c r="R43" s="2">
        <f t="shared" si="13"/>
        <v>0.43766666666666698</v>
      </c>
      <c r="U43" s="5">
        <v>39</v>
      </c>
      <c r="V43" s="6" t="s">
        <v>35</v>
      </c>
      <c r="W43" s="6">
        <v>1</v>
      </c>
      <c r="X43" s="6">
        <v>0.67100000000000004</v>
      </c>
      <c r="Z43" s="5">
        <v>39</v>
      </c>
      <c r="AA43" s="6" t="s">
        <v>35</v>
      </c>
      <c r="AB43" s="6">
        <v>0</v>
      </c>
      <c r="AC43" s="6">
        <v>0.22500000000000001</v>
      </c>
      <c r="AD43" s="2">
        <f t="shared" si="19"/>
        <v>0.7010000000000004</v>
      </c>
      <c r="AE43" s="6">
        <v>0.22500000000000001</v>
      </c>
      <c r="AF43" s="6">
        <v>0.67100000000000004</v>
      </c>
      <c r="AH43" s="2">
        <f t="shared" si="20"/>
        <v>0.7010000000000004</v>
      </c>
      <c r="AI43" s="3">
        <f t="shared" si="14"/>
        <v>0.1</v>
      </c>
      <c r="AJ43" s="3">
        <f t="shared" si="15"/>
        <v>0.25</v>
      </c>
      <c r="AK43" s="2">
        <f t="shared" si="16"/>
        <v>0.60100000000000042</v>
      </c>
      <c r="AN43" s="6">
        <v>0.68100000000000005</v>
      </c>
      <c r="AO43" s="6">
        <v>0.85</v>
      </c>
      <c r="AR43" s="6">
        <v>0.85</v>
      </c>
      <c r="AS43" s="6">
        <v>0.68100000000000005</v>
      </c>
      <c r="BA43" s="20">
        <f t="shared" si="10"/>
        <v>39</v>
      </c>
      <c r="BB43" s="6">
        <v>0.85</v>
      </c>
      <c r="BC43" s="6">
        <v>0.68100000000000005</v>
      </c>
    </row>
    <row r="44" spans="1:55">
      <c r="A44" s="7">
        <f t="shared" si="17"/>
        <v>40</v>
      </c>
      <c r="B44" s="8" t="s">
        <v>35</v>
      </c>
      <c r="C44" s="8">
        <v>1</v>
      </c>
      <c r="D44" s="8">
        <v>0.56299999999999994</v>
      </c>
      <c r="F44">
        <v>100</v>
      </c>
      <c r="G44" t="s">
        <v>35</v>
      </c>
      <c r="H44">
        <v>0</v>
      </c>
      <c r="I44">
        <v>0.25800000000000001</v>
      </c>
      <c r="K44" s="10">
        <v>0.25800000000000001</v>
      </c>
      <c r="L44" s="8">
        <v>0.56299999999999994</v>
      </c>
      <c r="O44" s="2">
        <f t="shared" si="18"/>
        <v>0.51733333333333364</v>
      </c>
      <c r="P44" s="3">
        <f t="shared" si="11"/>
        <v>6.6666666666666666E-2</v>
      </c>
      <c r="Q44" s="3">
        <f t="shared" si="12"/>
        <v>0.25</v>
      </c>
      <c r="R44" s="2">
        <f t="shared" si="13"/>
        <v>0.45066666666666699</v>
      </c>
      <c r="U44" s="7">
        <v>40</v>
      </c>
      <c r="V44" s="8" t="s">
        <v>35</v>
      </c>
      <c r="W44" s="8">
        <v>1</v>
      </c>
      <c r="X44" s="8">
        <v>0.71699999999999997</v>
      </c>
      <c r="Z44" s="7">
        <v>40</v>
      </c>
      <c r="AA44" s="8" t="s">
        <v>35</v>
      </c>
      <c r="AB44" s="8">
        <v>0</v>
      </c>
      <c r="AC44" s="8">
        <v>0.57399999999999995</v>
      </c>
      <c r="AD44" s="2">
        <f t="shared" si="19"/>
        <v>0.71400000000000041</v>
      </c>
      <c r="AE44" s="8">
        <v>0.57399999999999995</v>
      </c>
      <c r="AF44" s="8">
        <v>0.71699999999999997</v>
      </c>
      <c r="AH44" s="2">
        <f t="shared" si="20"/>
        <v>0.71400000000000041</v>
      </c>
      <c r="AI44" s="3">
        <f t="shared" si="14"/>
        <v>0.1</v>
      </c>
      <c r="AJ44" s="3">
        <f t="shared" si="15"/>
        <v>0.25</v>
      </c>
      <c r="AK44" s="2">
        <f t="shared" si="16"/>
        <v>0.61400000000000043</v>
      </c>
      <c r="AN44" s="8">
        <v>0.64</v>
      </c>
      <c r="AO44" s="8">
        <v>0.79500000000000004</v>
      </c>
      <c r="AR44" s="8">
        <v>0.79500000000000004</v>
      </c>
      <c r="AS44" s="8">
        <v>0.64</v>
      </c>
      <c r="BA44" s="20">
        <f t="shared" si="10"/>
        <v>40</v>
      </c>
      <c r="BB44" s="8">
        <v>0.79500000000000004</v>
      </c>
      <c r="BC44" s="8">
        <v>0.64</v>
      </c>
    </row>
    <row r="45" spans="1:55">
      <c r="A45" s="5">
        <f t="shared" si="17"/>
        <v>41</v>
      </c>
      <c r="B45" s="6" t="s">
        <v>38</v>
      </c>
      <c r="C45" s="6">
        <v>1</v>
      </c>
      <c r="D45" s="6">
        <v>0.86699999999999999</v>
      </c>
      <c r="F45">
        <v>101</v>
      </c>
      <c r="G45" t="s">
        <v>38</v>
      </c>
      <c r="H45">
        <v>0</v>
      </c>
      <c r="I45">
        <v>0.16</v>
      </c>
      <c r="K45" s="9">
        <v>0.16</v>
      </c>
      <c r="L45" s="6">
        <v>0.86699999999999999</v>
      </c>
      <c r="O45" s="2">
        <f t="shared" si="18"/>
        <v>0.53033333333333366</v>
      </c>
      <c r="P45" s="3">
        <f t="shared" si="11"/>
        <v>6.6666666666666666E-2</v>
      </c>
      <c r="Q45" s="3">
        <f t="shared" si="12"/>
        <v>0.28333333333333333</v>
      </c>
      <c r="R45" s="2">
        <f t="shared" si="13"/>
        <v>0.463666666666667</v>
      </c>
      <c r="U45" s="5">
        <v>41</v>
      </c>
      <c r="V45" s="6" t="s">
        <v>38</v>
      </c>
      <c r="W45" s="6">
        <v>1</v>
      </c>
      <c r="X45" s="6">
        <v>2.2160000000000002</v>
      </c>
      <c r="Z45" s="5">
        <v>41</v>
      </c>
      <c r="AA45" s="6" t="s">
        <v>38</v>
      </c>
      <c r="AB45" s="6">
        <v>0</v>
      </c>
      <c r="AC45" s="6">
        <v>0.21099999999999999</v>
      </c>
      <c r="AD45" s="2">
        <f t="shared" si="19"/>
        <v>0.72700000000000042</v>
      </c>
      <c r="AE45" s="6">
        <v>0.21099999999999999</v>
      </c>
      <c r="AF45" s="6">
        <v>2.2160000000000002</v>
      </c>
      <c r="AH45" s="2">
        <f t="shared" si="20"/>
        <v>0.72700000000000042</v>
      </c>
      <c r="AI45" s="3">
        <f t="shared" si="14"/>
        <v>6.6666666666666666E-2</v>
      </c>
      <c r="AJ45" s="3">
        <f t="shared" si="15"/>
        <v>0.26666666666666666</v>
      </c>
      <c r="AK45" s="2">
        <f t="shared" si="16"/>
        <v>0.66033333333333377</v>
      </c>
      <c r="AN45" s="6">
        <v>0.53600000000000003</v>
      </c>
      <c r="AO45" s="6">
        <v>0.86199999999999999</v>
      </c>
      <c r="AR45" s="6">
        <v>0.86199999999999999</v>
      </c>
      <c r="AS45" s="6">
        <v>0.53600000000000003</v>
      </c>
      <c r="BA45" s="20">
        <f t="shared" si="10"/>
        <v>41</v>
      </c>
      <c r="BB45" s="6">
        <v>0.86199999999999999</v>
      </c>
      <c r="BC45" s="6">
        <v>0.53600000000000003</v>
      </c>
    </row>
    <row r="46" spans="1:55">
      <c r="A46" s="7">
        <f t="shared" si="17"/>
        <v>42</v>
      </c>
      <c r="B46" s="8" t="s">
        <v>38</v>
      </c>
      <c r="C46" s="8">
        <v>1</v>
      </c>
      <c r="D46" s="8">
        <v>0.49</v>
      </c>
      <c r="F46">
        <v>102</v>
      </c>
      <c r="G46" t="s">
        <v>38</v>
      </c>
      <c r="H46">
        <v>0</v>
      </c>
      <c r="I46">
        <v>0.24199999999999999</v>
      </c>
      <c r="K46" s="10">
        <v>0.24199999999999999</v>
      </c>
      <c r="L46" s="8">
        <v>0.49</v>
      </c>
      <c r="O46" s="2">
        <f t="shared" si="18"/>
        <v>0.54333333333333367</v>
      </c>
      <c r="P46" s="3">
        <f t="shared" si="11"/>
        <v>6.6666666666666666E-2</v>
      </c>
      <c r="Q46" s="3">
        <f t="shared" si="12"/>
        <v>0.33333333333333331</v>
      </c>
      <c r="R46" s="2">
        <f t="shared" si="13"/>
        <v>0.47666666666666702</v>
      </c>
      <c r="U46" s="7">
        <v>42</v>
      </c>
      <c r="V46" s="8" t="s">
        <v>38</v>
      </c>
      <c r="W46" s="8">
        <v>1</v>
      </c>
      <c r="X46" s="8">
        <v>0.53</v>
      </c>
      <c r="Z46" s="7">
        <v>42</v>
      </c>
      <c r="AA46" s="8" t="s">
        <v>38</v>
      </c>
      <c r="AB46" s="8">
        <v>0</v>
      </c>
      <c r="AC46" s="8">
        <v>0.40200000000000002</v>
      </c>
      <c r="AD46" s="2">
        <f t="shared" si="19"/>
        <v>0.74000000000000044</v>
      </c>
      <c r="AE46" s="8">
        <v>0.40200000000000002</v>
      </c>
      <c r="AF46" s="8">
        <v>0.53</v>
      </c>
      <c r="AH46" s="2">
        <f t="shared" si="20"/>
        <v>0.74000000000000044</v>
      </c>
      <c r="AI46" s="3">
        <f t="shared" si="14"/>
        <v>6.6666666666666666E-2</v>
      </c>
      <c r="AJ46" s="3">
        <f t="shared" si="15"/>
        <v>0.26666666666666666</v>
      </c>
      <c r="AK46" s="2">
        <f t="shared" si="16"/>
        <v>0.67333333333333378</v>
      </c>
      <c r="AN46" s="8">
        <v>0.67100000000000004</v>
      </c>
      <c r="AO46" s="8">
        <v>0.80500000000000005</v>
      </c>
      <c r="AR46" s="8">
        <v>0.80500000000000005</v>
      </c>
      <c r="AS46" s="8">
        <v>0.67100000000000004</v>
      </c>
      <c r="BA46" s="20">
        <f t="shared" si="10"/>
        <v>42</v>
      </c>
      <c r="BB46" s="8">
        <v>0.80500000000000005</v>
      </c>
      <c r="BC46" s="8">
        <v>0.67100000000000004</v>
      </c>
    </row>
    <row r="47" spans="1:55">
      <c r="A47" s="5">
        <f t="shared" si="17"/>
        <v>43</v>
      </c>
      <c r="B47" s="6" t="s">
        <v>38</v>
      </c>
      <c r="C47" s="6">
        <v>1</v>
      </c>
      <c r="D47" s="6">
        <v>0.34799999999999998</v>
      </c>
      <c r="F47">
        <v>103</v>
      </c>
      <c r="G47" t="s">
        <v>38</v>
      </c>
      <c r="H47">
        <v>0</v>
      </c>
      <c r="I47">
        <v>0.35299999999999998</v>
      </c>
      <c r="K47" s="9">
        <v>0.35299999999999998</v>
      </c>
      <c r="L47" s="6">
        <v>0.34799999999999998</v>
      </c>
      <c r="O47" s="2">
        <f t="shared" si="18"/>
        <v>0.55633333333333368</v>
      </c>
      <c r="P47" s="3">
        <f t="shared" si="11"/>
        <v>6.6666666666666666E-2</v>
      </c>
      <c r="Q47" s="3">
        <f t="shared" si="12"/>
        <v>0.36666666666666664</v>
      </c>
      <c r="R47" s="2">
        <f t="shared" si="13"/>
        <v>0.48966666666666703</v>
      </c>
      <c r="U47" s="5">
        <v>43</v>
      </c>
      <c r="V47" s="6" t="s">
        <v>38</v>
      </c>
      <c r="W47" s="6">
        <v>1</v>
      </c>
      <c r="X47" s="6">
        <v>0.76100000000000001</v>
      </c>
      <c r="Z47" s="5">
        <v>43</v>
      </c>
      <c r="AA47" s="6" t="s">
        <v>38</v>
      </c>
      <c r="AB47" s="6">
        <v>0</v>
      </c>
      <c r="AC47" s="6">
        <v>0.48299999999999998</v>
      </c>
      <c r="AD47" s="2">
        <f t="shared" si="19"/>
        <v>0.75300000000000045</v>
      </c>
      <c r="AE47" s="6">
        <v>0.48299999999999998</v>
      </c>
      <c r="AF47" s="6">
        <v>0.76100000000000001</v>
      </c>
      <c r="AH47" s="2">
        <f t="shared" si="20"/>
        <v>0.75300000000000045</v>
      </c>
      <c r="AI47" s="3">
        <f t="shared" si="14"/>
        <v>6.6666666666666666E-2</v>
      </c>
      <c r="AJ47" s="3">
        <f t="shared" si="15"/>
        <v>0.26666666666666666</v>
      </c>
      <c r="AK47" s="2">
        <f t="shared" si="16"/>
        <v>0.68633333333333379</v>
      </c>
      <c r="AN47" s="6">
        <v>0.74199999999999999</v>
      </c>
      <c r="AO47" s="6">
        <v>0.73899999999999999</v>
      </c>
      <c r="AR47" s="6">
        <v>0.73899999999999999</v>
      </c>
      <c r="AS47" s="6">
        <v>0.74199999999999999</v>
      </c>
      <c r="BA47" s="20">
        <f t="shared" si="10"/>
        <v>43</v>
      </c>
      <c r="BB47" s="6">
        <v>0.73899999999999999</v>
      </c>
      <c r="BC47" s="6">
        <v>0.74199999999999999</v>
      </c>
    </row>
    <row r="48" spans="1:55">
      <c r="A48" s="7">
        <f t="shared" si="17"/>
        <v>44</v>
      </c>
      <c r="B48" s="8" t="s">
        <v>38</v>
      </c>
      <c r="C48" s="8">
        <v>1</v>
      </c>
      <c r="D48" s="8">
        <v>0.41099999999999998</v>
      </c>
      <c r="F48">
        <v>104</v>
      </c>
      <c r="G48" t="s">
        <v>38</v>
      </c>
      <c r="H48">
        <v>0</v>
      </c>
      <c r="I48">
        <v>0.14799999999999999</v>
      </c>
      <c r="K48" s="10">
        <v>0.14799999999999999</v>
      </c>
      <c r="L48" s="8">
        <v>0.41099999999999998</v>
      </c>
      <c r="O48" s="2">
        <f t="shared" si="18"/>
        <v>0.56933333333333369</v>
      </c>
      <c r="P48" s="3">
        <f t="shared" si="11"/>
        <v>6.6666666666666666E-2</v>
      </c>
      <c r="Q48" s="3">
        <f t="shared" si="12"/>
        <v>0.41666666666666669</v>
      </c>
      <c r="R48" s="2">
        <f t="shared" si="13"/>
        <v>0.50266666666666704</v>
      </c>
      <c r="U48" s="7">
        <v>44</v>
      </c>
      <c r="V48" s="8" t="s">
        <v>38</v>
      </c>
      <c r="W48" s="8">
        <v>1</v>
      </c>
      <c r="X48" s="8">
        <v>0.55200000000000005</v>
      </c>
      <c r="Z48" s="7">
        <v>44</v>
      </c>
      <c r="AA48" s="8" t="s">
        <v>38</v>
      </c>
      <c r="AB48" s="8">
        <v>0</v>
      </c>
      <c r="AC48" s="8">
        <v>0.26300000000000001</v>
      </c>
      <c r="AD48" s="2">
        <f t="shared" si="19"/>
        <v>0.76600000000000046</v>
      </c>
      <c r="AE48" s="8">
        <v>0.26300000000000001</v>
      </c>
      <c r="AF48" s="8">
        <v>0.55200000000000005</v>
      </c>
      <c r="AH48" s="2">
        <f t="shared" si="20"/>
        <v>0.76600000000000046</v>
      </c>
      <c r="AI48" s="3">
        <f t="shared" si="14"/>
        <v>6.6666666666666666E-2</v>
      </c>
      <c r="AJ48" s="3">
        <f t="shared" si="15"/>
        <v>0.28333333333333333</v>
      </c>
      <c r="AK48" s="2">
        <f t="shared" si="16"/>
        <v>0.69933333333333381</v>
      </c>
      <c r="AN48" s="8">
        <v>0.70899999999999996</v>
      </c>
      <c r="AO48" s="8">
        <v>0.871</v>
      </c>
      <c r="AR48" s="8">
        <v>0.871</v>
      </c>
      <c r="AS48" s="8">
        <v>0.70899999999999996</v>
      </c>
      <c r="BA48" s="20">
        <f t="shared" si="10"/>
        <v>44</v>
      </c>
      <c r="BB48" s="8">
        <v>0.871</v>
      </c>
      <c r="BC48" s="8">
        <v>0.70899999999999996</v>
      </c>
    </row>
    <row r="49" spans="1:55">
      <c r="A49" s="5">
        <f t="shared" si="17"/>
        <v>45</v>
      </c>
      <c r="B49" s="6" t="s">
        <v>38</v>
      </c>
      <c r="C49" s="6">
        <v>1</v>
      </c>
      <c r="D49" s="6">
        <v>0.54</v>
      </c>
      <c r="F49">
        <v>105</v>
      </c>
      <c r="G49" t="s">
        <v>38</v>
      </c>
      <c r="H49">
        <v>0</v>
      </c>
      <c r="I49">
        <v>0.111</v>
      </c>
      <c r="K49" s="9">
        <v>0.111</v>
      </c>
      <c r="L49" s="6">
        <v>0.54</v>
      </c>
      <c r="O49" s="2">
        <f t="shared" si="18"/>
        <v>0.5823333333333337</v>
      </c>
      <c r="P49" s="3">
        <f t="shared" si="11"/>
        <v>6.6666666666666666E-2</v>
      </c>
      <c r="Q49" s="3">
        <f t="shared" si="12"/>
        <v>0.41666666666666669</v>
      </c>
      <c r="R49" s="2">
        <f t="shared" si="13"/>
        <v>0.51566666666666705</v>
      </c>
      <c r="U49" s="5">
        <v>45</v>
      </c>
      <c r="V49" s="6" t="s">
        <v>38</v>
      </c>
      <c r="W49" s="6">
        <v>1</v>
      </c>
      <c r="X49" s="6">
        <v>0.68799999999999994</v>
      </c>
      <c r="Z49" s="5">
        <v>45</v>
      </c>
      <c r="AA49" s="6" t="s">
        <v>38</v>
      </c>
      <c r="AB49" s="6">
        <v>0</v>
      </c>
      <c r="AC49" s="6">
        <v>0.41199999999999998</v>
      </c>
      <c r="AD49" s="2">
        <f t="shared" si="19"/>
        <v>0.77900000000000047</v>
      </c>
      <c r="AE49" s="6">
        <v>0.41199999999999998</v>
      </c>
      <c r="AF49" s="6">
        <v>0.68799999999999994</v>
      </c>
      <c r="AH49" s="2">
        <f t="shared" si="20"/>
        <v>0.77900000000000047</v>
      </c>
      <c r="AI49" s="3">
        <f t="shared" si="14"/>
        <v>6.6666666666666666E-2</v>
      </c>
      <c r="AJ49" s="3">
        <f t="shared" si="15"/>
        <v>0.3</v>
      </c>
      <c r="AK49" s="2">
        <f t="shared" si="16"/>
        <v>0.71233333333333382</v>
      </c>
      <c r="AN49" s="6">
        <v>0.64900000000000002</v>
      </c>
      <c r="AO49" s="6">
        <v>0.9</v>
      </c>
      <c r="AR49" s="6">
        <v>0.9</v>
      </c>
      <c r="AS49" s="6">
        <v>0.64900000000000002</v>
      </c>
      <c r="BA49" s="20">
        <f t="shared" si="10"/>
        <v>45</v>
      </c>
      <c r="BB49" s="6">
        <v>0.9</v>
      </c>
      <c r="BC49" s="6">
        <v>0.64900000000000002</v>
      </c>
    </row>
    <row r="50" spans="1:55">
      <c r="A50" s="7">
        <f t="shared" si="17"/>
        <v>46</v>
      </c>
      <c r="B50" s="8" t="s">
        <v>38</v>
      </c>
      <c r="C50" s="8">
        <v>1</v>
      </c>
      <c r="D50" s="8">
        <v>1.2629999999999999</v>
      </c>
      <c r="F50">
        <v>106</v>
      </c>
      <c r="G50" t="s">
        <v>38</v>
      </c>
      <c r="H50">
        <v>0</v>
      </c>
      <c r="I50">
        <v>7.9000000000000001E-2</v>
      </c>
      <c r="K50" s="10">
        <v>7.9000000000000001E-2</v>
      </c>
      <c r="L50" s="8">
        <v>1.2629999999999999</v>
      </c>
      <c r="O50" s="2">
        <f t="shared" si="18"/>
        <v>0.59533333333333371</v>
      </c>
      <c r="P50" s="3">
        <f t="shared" si="11"/>
        <v>6.6666666666666666E-2</v>
      </c>
      <c r="Q50" s="3">
        <f t="shared" si="12"/>
        <v>0.46666666666666667</v>
      </c>
      <c r="R50" s="2">
        <f t="shared" si="13"/>
        <v>0.52866666666666706</v>
      </c>
      <c r="U50" s="7">
        <v>46</v>
      </c>
      <c r="V50" s="8" t="s">
        <v>38</v>
      </c>
      <c r="W50" s="8">
        <v>1</v>
      </c>
      <c r="X50" s="8">
        <v>3.51</v>
      </c>
      <c r="Z50" s="7">
        <v>46</v>
      </c>
      <c r="AA50" s="8" t="s">
        <v>38</v>
      </c>
      <c r="AB50" s="8">
        <v>0</v>
      </c>
      <c r="AC50" s="8">
        <v>0.21199999999999999</v>
      </c>
      <c r="AD50" s="2">
        <f t="shared" si="19"/>
        <v>0.79200000000000048</v>
      </c>
      <c r="AE50" s="8">
        <v>0.21199999999999999</v>
      </c>
      <c r="AF50" s="8">
        <v>3.51</v>
      </c>
      <c r="AH50" s="2">
        <f t="shared" si="20"/>
        <v>0.79200000000000048</v>
      </c>
      <c r="AI50" s="3">
        <f t="shared" si="14"/>
        <v>6.6666666666666666E-2</v>
      </c>
      <c r="AJ50" s="3">
        <f t="shared" si="15"/>
        <v>0.3</v>
      </c>
      <c r="AK50" s="2">
        <f t="shared" si="16"/>
        <v>0.72533333333333383</v>
      </c>
      <c r="AN50" s="8">
        <v>0.442</v>
      </c>
      <c r="AO50" s="8">
        <v>0.92700000000000005</v>
      </c>
      <c r="AR50" s="8">
        <v>0.92700000000000005</v>
      </c>
      <c r="AS50" s="8">
        <v>0.442</v>
      </c>
      <c r="BA50" s="20">
        <f t="shared" si="10"/>
        <v>46</v>
      </c>
      <c r="BB50" s="8">
        <v>0.92700000000000005</v>
      </c>
      <c r="BC50" s="8">
        <v>0.442</v>
      </c>
    </row>
    <row r="51" spans="1:55">
      <c r="A51" s="5">
        <f t="shared" si="17"/>
        <v>47</v>
      </c>
      <c r="B51" s="6" t="s">
        <v>38</v>
      </c>
      <c r="C51" s="6">
        <v>1</v>
      </c>
      <c r="D51" s="6">
        <v>0.52</v>
      </c>
      <c r="F51">
        <v>107</v>
      </c>
      <c r="G51" t="s">
        <v>38</v>
      </c>
      <c r="H51">
        <v>0</v>
      </c>
      <c r="I51">
        <v>6.6000000000000003E-2</v>
      </c>
      <c r="K51" s="9">
        <v>6.6000000000000003E-2</v>
      </c>
      <c r="L51" s="6">
        <v>0.52</v>
      </c>
      <c r="O51" s="2">
        <f t="shared" si="18"/>
        <v>0.60833333333333373</v>
      </c>
      <c r="P51" s="3">
        <f t="shared" si="11"/>
        <v>6.6666666666666666E-2</v>
      </c>
      <c r="Q51" s="3">
        <f t="shared" si="12"/>
        <v>0.48333333333333334</v>
      </c>
      <c r="R51" s="2">
        <f t="shared" si="13"/>
        <v>0.54166666666666707</v>
      </c>
      <c r="U51" s="5">
        <v>47</v>
      </c>
      <c r="V51" s="6" t="s">
        <v>38</v>
      </c>
      <c r="W51" s="6">
        <v>1</v>
      </c>
      <c r="X51" s="6">
        <v>0.629</v>
      </c>
      <c r="Z51" s="5">
        <v>47</v>
      </c>
      <c r="AA51" s="6" t="s">
        <v>38</v>
      </c>
      <c r="AB51" s="6">
        <v>0</v>
      </c>
      <c r="AC51" s="6">
        <v>0.23100000000000001</v>
      </c>
      <c r="AD51" s="2">
        <f t="shared" si="19"/>
        <v>0.80500000000000049</v>
      </c>
      <c r="AE51" s="6">
        <v>0.23100000000000001</v>
      </c>
      <c r="AF51" s="6">
        <v>0.629</v>
      </c>
      <c r="AH51" s="2">
        <f t="shared" si="20"/>
        <v>0.80500000000000049</v>
      </c>
      <c r="AI51" s="3">
        <f t="shared" si="14"/>
        <v>6.6666666666666666E-2</v>
      </c>
      <c r="AJ51" s="3">
        <f t="shared" si="15"/>
        <v>0.35</v>
      </c>
      <c r="AK51" s="2">
        <f t="shared" si="16"/>
        <v>0.73833333333333384</v>
      </c>
      <c r="AN51" s="6">
        <v>0.65800000000000003</v>
      </c>
      <c r="AO51" s="6">
        <v>0.93799999999999994</v>
      </c>
      <c r="AR51" s="6">
        <v>0.93799999999999994</v>
      </c>
      <c r="AS51" s="6">
        <v>0.65800000000000003</v>
      </c>
      <c r="BA51" s="20">
        <f t="shared" si="10"/>
        <v>47</v>
      </c>
      <c r="BB51" s="6">
        <v>0.93799999999999994</v>
      </c>
      <c r="BC51" s="6">
        <v>0.65800000000000003</v>
      </c>
    </row>
    <row r="52" spans="1:55">
      <c r="A52" s="7">
        <f t="shared" si="17"/>
        <v>48</v>
      </c>
      <c r="B52" s="8" t="s">
        <v>38</v>
      </c>
      <c r="C52" s="8">
        <v>1</v>
      </c>
      <c r="D52" s="8">
        <v>0.46899999999999997</v>
      </c>
      <c r="F52">
        <v>108</v>
      </c>
      <c r="G52" t="s">
        <v>38</v>
      </c>
      <c r="H52">
        <v>0</v>
      </c>
      <c r="I52">
        <v>0.29599999999999999</v>
      </c>
      <c r="K52" s="10">
        <v>0.29599999999999999</v>
      </c>
      <c r="L52" s="8">
        <v>0.46899999999999997</v>
      </c>
      <c r="O52" s="2">
        <f t="shared" si="18"/>
        <v>0.62133333333333374</v>
      </c>
      <c r="P52" s="3">
        <f t="shared" si="11"/>
        <v>0.05</v>
      </c>
      <c r="Q52" s="3">
        <f t="shared" si="12"/>
        <v>0.48333333333333334</v>
      </c>
      <c r="R52" s="2">
        <f t="shared" si="13"/>
        <v>0.57133333333333369</v>
      </c>
      <c r="U52" s="7">
        <v>48</v>
      </c>
      <c r="V52" s="8" t="s">
        <v>38</v>
      </c>
      <c r="W52" s="8">
        <v>1</v>
      </c>
      <c r="X52" s="8">
        <v>0.56399999999999995</v>
      </c>
      <c r="Z52" s="7">
        <v>48</v>
      </c>
      <c r="AA52" s="8" t="s">
        <v>38</v>
      </c>
      <c r="AB52" s="8">
        <v>0</v>
      </c>
      <c r="AC52" s="8">
        <v>0.72299999999999998</v>
      </c>
      <c r="AD52" s="2">
        <f t="shared" si="19"/>
        <v>0.8180000000000005</v>
      </c>
      <c r="AE52" s="8">
        <v>0.72299999999999998</v>
      </c>
      <c r="AF52" s="8">
        <v>0.56399999999999995</v>
      </c>
      <c r="AH52" s="2">
        <f t="shared" si="20"/>
        <v>0.8180000000000005</v>
      </c>
      <c r="AI52" s="3">
        <f t="shared" si="14"/>
        <v>6.6666666666666666E-2</v>
      </c>
      <c r="AJ52" s="3">
        <f t="shared" si="15"/>
        <v>0.35</v>
      </c>
      <c r="AK52" s="2">
        <f t="shared" si="16"/>
        <v>0.75133333333333385</v>
      </c>
      <c r="AN52" s="8">
        <v>0.68100000000000005</v>
      </c>
      <c r="AO52" s="8">
        <v>0.77200000000000002</v>
      </c>
      <c r="AR52" s="8">
        <v>0.77200000000000002</v>
      </c>
      <c r="AS52" s="8">
        <v>0.68100000000000005</v>
      </c>
      <c r="BA52" s="20">
        <f t="shared" si="10"/>
        <v>48</v>
      </c>
      <c r="BB52" s="8">
        <v>0.77200000000000002</v>
      </c>
      <c r="BC52" s="8">
        <v>0.68100000000000005</v>
      </c>
    </row>
    <row r="53" spans="1:55">
      <c r="A53" s="5">
        <f t="shared" si="17"/>
        <v>49</v>
      </c>
      <c r="B53" s="6" t="s">
        <v>38</v>
      </c>
      <c r="C53" s="6">
        <v>1</v>
      </c>
      <c r="D53" s="6">
        <v>0.11</v>
      </c>
      <c r="F53">
        <v>109</v>
      </c>
      <c r="G53" t="s">
        <v>38</v>
      </c>
      <c r="H53">
        <v>0</v>
      </c>
      <c r="I53">
        <v>0.29599999999999999</v>
      </c>
      <c r="K53" s="9">
        <v>0.29599999999999999</v>
      </c>
      <c r="L53" s="6">
        <v>0.11</v>
      </c>
      <c r="O53" s="2">
        <f t="shared" si="18"/>
        <v>0.63433333333333375</v>
      </c>
      <c r="P53" s="3">
        <f t="shared" si="11"/>
        <v>0.05</v>
      </c>
      <c r="Q53" s="3">
        <f t="shared" si="12"/>
        <v>0.5</v>
      </c>
      <c r="R53" s="2">
        <f t="shared" si="13"/>
        <v>0.5843333333333337</v>
      </c>
      <c r="U53" s="5">
        <v>49</v>
      </c>
      <c r="V53" s="6" t="s">
        <v>38</v>
      </c>
      <c r="W53" s="6">
        <v>1</v>
      </c>
      <c r="X53" s="6">
        <v>0.4</v>
      </c>
      <c r="Z53" s="5">
        <v>49</v>
      </c>
      <c r="AA53" s="6" t="s">
        <v>38</v>
      </c>
      <c r="AB53" s="6">
        <v>0</v>
      </c>
      <c r="AC53" s="6">
        <v>0.72299999999999998</v>
      </c>
      <c r="AD53" s="2">
        <f t="shared" si="19"/>
        <v>0.83100000000000052</v>
      </c>
      <c r="AE53" s="6">
        <v>0.72299999999999998</v>
      </c>
      <c r="AF53" s="6">
        <v>0.4</v>
      </c>
      <c r="AH53" s="2">
        <f t="shared" si="20"/>
        <v>0.83100000000000052</v>
      </c>
      <c r="AI53" s="3">
        <f t="shared" si="14"/>
        <v>6.6666666666666666E-2</v>
      </c>
      <c r="AJ53" s="3">
        <f t="shared" si="15"/>
        <v>0.35</v>
      </c>
      <c r="AK53" s="2">
        <f t="shared" si="16"/>
        <v>0.76433333333333386</v>
      </c>
      <c r="AN53" s="6">
        <v>0.90100000000000002</v>
      </c>
      <c r="AO53" s="6">
        <v>0.77200000000000002</v>
      </c>
      <c r="AR53" s="6">
        <v>0.77200000000000002</v>
      </c>
      <c r="AS53" s="6">
        <v>0.90100000000000002</v>
      </c>
      <c r="BA53" s="20">
        <f t="shared" si="10"/>
        <v>49</v>
      </c>
      <c r="BB53" s="6">
        <v>0.77200000000000002</v>
      </c>
      <c r="BC53" s="6">
        <v>0.90100000000000002</v>
      </c>
    </row>
    <row r="54" spans="1:55">
      <c r="A54" s="7">
        <f t="shared" si="17"/>
        <v>50</v>
      </c>
      <c r="B54" s="8" t="s">
        <v>38</v>
      </c>
      <c r="C54" s="8">
        <v>1</v>
      </c>
      <c r="D54" s="8">
        <v>0.55700000000000005</v>
      </c>
      <c r="F54">
        <v>110</v>
      </c>
      <c r="G54" t="s">
        <v>38</v>
      </c>
      <c r="H54">
        <v>0</v>
      </c>
      <c r="I54">
        <v>0.25600000000000001</v>
      </c>
      <c r="K54" s="10">
        <v>0.25600000000000001</v>
      </c>
      <c r="L54" s="8">
        <v>0.55700000000000005</v>
      </c>
      <c r="O54" s="2">
        <f t="shared" si="18"/>
        <v>0.64733333333333376</v>
      </c>
      <c r="P54" s="3">
        <f t="shared" si="11"/>
        <v>0.05</v>
      </c>
      <c r="Q54" s="3">
        <f t="shared" si="12"/>
        <v>0.53333333333333333</v>
      </c>
      <c r="R54" s="2">
        <f t="shared" si="13"/>
        <v>0.59733333333333372</v>
      </c>
      <c r="U54" s="7">
        <v>50</v>
      </c>
      <c r="V54" s="8" t="s">
        <v>38</v>
      </c>
      <c r="W54" s="8">
        <v>1</v>
      </c>
      <c r="X54" s="8">
        <v>0.59699999999999998</v>
      </c>
      <c r="Z54" s="7">
        <v>50</v>
      </c>
      <c r="AA54" s="8" t="s">
        <v>38</v>
      </c>
      <c r="AB54" s="8">
        <v>0</v>
      </c>
      <c r="AC54" s="8">
        <v>0.37</v>
      </c>
      <c r="AD54" s="2">
        <f t="shared" si="19"/>
        <v>0.84400000000000053</v>
      </c>
      <c r="AE54" s="8">
        <v>0.37</v>
      </c>
      <c r="AF54" s="8">
        <v>0.59699999999999998</v>
      </c>
      <c r="AH54" s="2">
        <f t="shared" si="20"/>
        <v>0.84400000000000053</v>
      </c>
      <c r="AI54" s="3">
        <f t="shared" si="14"/>
        <v>0.05</v>
      </c>
      <c r="AJ54" s="3">
        <f t="shared" si="15"/>
        <v>0.36666666666666664</v>
      </c>
      <c r="AK54" s="2">
        <f t="shared" si="16"/>
        <v>0.79400000000000048</v>
      </c>
      <c r="AN54" s="8">
        <v>0.64200000000000002</v>
      </c>
      <c r="AO54" s="8">
        <v>0.79600000000000004</v>
      </c>
      <c r="AR54" s="8">
        <v>0.79600000000000004</v>
      </c>
      <c r="AS54" s="8">
        <v>0.64200000000000002</v>
      </c>
      <c r="BA54" s="20">
        <f t="shared" si="10"/>
        <v>50</v>
      </c>
      <c r="BB54" s="8">
        <v>0.79600000000000004</v>
      </c>
      <c r="BC54" s="8">
        <v>0.64200000000000002</v>
      </c>
    </row>
    <row r="55" spans="1:55">
      <c r="A55" s="5">
        <f t="shared" si="17"/>
        <v>51</v>
      </c>
      <c r="B55" s="6" t="s">
        <v>39</v>
      </c>
      <c r="C55" s="6">
        <v>1</v>
      </c>
      <c r="D55" s="6">
        <v>0.63700000000000001</v>
      </c>
      <c r="F55">
        <v>111</v>
      </c>
      <c r="G55" t="s">
        <v>39</v>
      </c>
      <c r="H55">
        <v>0</v>
      </c>
      <c r="I55">
        <v>8.5000000000000006E-2</v>
      </c>
      <c r="K55" s="9">
        <v>8.5000000000000006E-2</v>
      </c>
      <c r="L55" s="6">
        <v>0.63700000000000001</v>
      </c>
      <c r="O55" s="2">
        <f t="shared" si="18"/>
        <v>0.66033333333333377</v>
      </c>
      <c r="P55" s="3">
        <f t="shared" si="11"/>
        <v>0.05</v>
      </c>
      <c r="Q55" s="3">
        <f t="shared" si="12"/>
        <v>0.53333333333333333</v>
      </c>
      <c r="R55" s="2">
        <f t="shared" si="13"/>
        <v>0.61033333333333373</v>
      </c>
      <c r="U55" s="5">
        <v>51</v>
      </c>
      <c r="V55" s="6" t="s">
        <v>39</v>
      </c>
      <c r="W55" s="6">
        <v>1</v>
      </c>
      <c r="X55" s="6">
        <v>1.9490000000000001</v>
      </c>
      <c r="Z55" s="5">
        <v>51</v>
      </c>
      <c r="AA55" s="6" t="s">
        <v>39</v>
      </c>
      <c r="AB55" s="6">
        <v>0</v>
      </c>
      <c r="AC55" s="6">
        <v>0.379</v>
      </c>
      <c r="AD55" s="2">
        <f t="shared" si="19"/>
        <v>0.85700000000000054</v>
      </c>
      <c r="AE55" s="6">
        <v>0.379</v>
      </c>
      <c r="AF55" s="6">
        <v>1.9490000000000001</v>
      </c>
      <c r="AH55" s="2">
        <f t="shared" si="20"/>
        <v>0.85700000000000054</v>
      </c>
      <c r="AI55" s="3">
        <f t="shared" si="14"/>
        <v>0.05</v>
      </c>
      <c r="AJ55" s="3">
        <f t="shared" si="15"/>
        <v>0.36666666666666664</v>
      </c>
      <c r="AK55" s="2">
        <f t="shared" si="16"/>
        <v>0.80700000000000049</v>
      </c>
      <c r="AN55" s="6">
        <v>0.65100000000000002</v>
      </c>
      <c r="AO55" s="6">
        <v>0.83799999999999997</v>
      </c>
      <c r="AR55" s="6">
        <v>0.83799999999999997</v>
      </c>
      <c r="AS55" s="6">
        <v>0.65100000000000002</v>
      </c>
      <c r="BA55" s="20">
        <f t="shared" si="10"/>
        <v>51</v>
      </c>
      <c r="BB55" s="6">
        <v>0.83799999999999997</v>
      </c>
      <c r="BC55" s="6">
        <v>0.65100000000000002</v>
      </c>
    </row>
    <row r="56" spans="1:55">
      <c r="A56" s="7">
        <f t="shared" si="17"/>
        <v>52</v>
      </c>
      <c r="B56" s="8" t="s">
        <v>39</v>
      </c>
      <c r="C56" s="8">
        <v>1</v>
      </c>
      <c r="D56" s="8">
        <v>0.53700000000000003</v>
      </c>
      <c r="F56">
        <v>112</v>
      </c>
      <c r="G56" t="s">
        <v>39</v>
      </c>
      <c r="H56">
        <v>0</v>
      </c>
      <c r="I56">
        <v>0.23899999999999999</v>
      </c>
      <c r="K56" s="10">
        <v>0.23899999999999999</v>
      </c>
      <c r="L56" s="8">
        <v>0.53700000000000003</v>
      </c>
      <c r="O56" s="2">
        <f t="shared" si="18"/>
        <v>0.67333333333333378</v>
      </c>
      <c r="P56" s="3">
        <f t="shared" si="11"/>
        <v>0.05</v>
      </c>
      <c r="Q56" s="3">
        <f t="shared" si="12"/>
        <v>0.53333333333333333</v>
      </c>
      <c r="R56" s="2">
        <f t="shared" si="13"/>
        <v>0.62333333333333374</v>
      </c>
      <c r="U56" s="7">
        <v>52</v>
      </c>
      <c r="V56" s="8" t="s">
        <v>39</v>
      </c>
      <c r="W56" s="8">
        <v>1</v>
      </c>
      <c r="X56" s="8">
        <v>1.7490000000000001</v>
      </c>
      <c r="Z56" s="7">
        <v>52</v>
      </c>
      <c r="AA56" s="8" t="s">
        <v>39</v>
      </c>
      <c r="AB56" s="8">
        <v>0</v>
      </c>
      <c r="AC56" s="8">
        <v>0.34200000000000003</v>
      </c>
      <c r="AD56" s="2">
        <f t="shared" si="19"/>
        <v>0.87000000000000055</v>
      </c>
      <c r="AE56" s="8">
        <v>0.34200000000000003</v>
      </c>
      <c r="AF56" s="8">
        <v>1.7490000000000001</v>
      </c>
      <c r="AH56" s="2">
        <f t="shared" si="20"/>
        <v>0.87000000000000055</v>
      </c>
      <c r="AI56" s="3">
        <f t="shared" si="14"/>
        <v>0.05</v>
      </c>
      <c r="AJ56" s="3">
        <f t="shared" si="15"/>
        <v>0.36666666666666664</v>
      </c>
      <c r="AK56" s="2">
        <f t="shared" si="16"/>
        <v>0.82000000000000051</v>
      </c>
      <c r="AN56" s="8">
        <v>0.65100000000000002</v>
      </c>
      <c r="AO56" s="8">
        <v>0.80700000000000005</v>
      </c>
      <c r="AR56" s="8">
        <v>0.80700000000000005</v>
      </c>
      <c r="AS56" s="8">
        <v>0.65100000000000002</v>
      </c>
      <c r="BA56" s="20">
        <f t="shared" si="10"/>
        <v>52</v>
      </c>
      <c r="BB56" s="8">
        <v>0.80700000000000005</v>
      </c>
      <c r="BC56" s="8">
        <v>0.65100000000000002</v>
      </c>
    </row>
    <row r="57" spans="1:55">
      <c r="A57" s="5">
        <f t="shared" si="17"/>
        <v>53</v>
      </c>
      <c r="B57" s="6" t="s">
        <v>39</v>
      </c>
      <c r="C57" s="6">
        <v>1</v>
      </c>
      <c r="D57" s="6">
        <v>0.91300000000000003</v>
      </c>
      <c r="F57">
        <v>113</v>
      </c>
      <c r="G57" t="s">
        <v>39</v>
      </c>
      <c r="H57">
        <v>0</v>
      </c>
      <c r="I57">
        <v>6.8000000000000005E-2</v>
      </c>
      <c r="K57" s="9">
        <v>6.8000000000000005E-2</v>
      </c>
      <c r="L57" s="6">
        <v>0.91300000000000003</v>
      </c>
      <c r="O57" s="2">
        <f t="shared" si="18"/>
        <v>0.68633333333333379</v>
      </c>
      <c r="P57" s="3">
        <f t="shared" si="11"/>
        <v>3.3333333333333333E-2</v>
      </c>
      <c r="Q57" s="3">
        <f t="shared" si="12"/>
        <v>0.53333333333333333</v>
      </c>
      <c r="R57" s="2">
        <f t="shared" si="13"/>
        <v>0.65300000000000047</v>
      </c>
      <c r="U57" s="5">
        <v>53</v>
      </c>
      <c r="V57" s="6" t="s">
        <v>39</v>
      </c>
      <c r="W57" s="6">
        <v>1</v>
      </c>
      <c r="X57" s="6">
        <v>3.33</v>
      </c>
      <c r="Z57" s="5">
        <v>53</v>
      </c>
      <c r="AA57" s="6" t="s">
        <v>39</v>
      </c>
      <c r="AB57" s="6">
        <v>0</v>
      </c>
      <c r="AC57" s="6">
        <v>9.1999999999999998E-2</v>
      </c>
      <c r="AD57" s="2">
        <f t="shared" si="19"/>
        <v>0.88300000000000056</v>
      </c>
      <c r="AE57" s="6">
        <v>9.1999999999999998E-2</v>
      </c>
      <c r="AF57" s="6">
        <v>3.33</v>
      </c>
      <c r="AH57" s="2">
        <f t="shared" si="20"/>
        <v>0.88300000000000056</v>
      </c>
      <c r="AI57" s="3">
        <f t="shared" si="14"/>
        <v>0.05</v>
      </c>
      <c r="AJ57" s="3">
        <f t="shared" si="15"/>
        <v>0.36666666666666664</v>
      </c>
      <c r="AK57" s="2">
        <f t="shared" si="16"/>
        <v>0.83300000000000052</v>
      </c>
      <c r="AN57" s="6">
        <v>0.52300000000000002</v>
      </c>
      <c r="AO57" s="6">
        <v>0.93600000000000005</v>
      </c>
      <c r="AR57" s="6">
        <v>0.93600000000000005</v>
      </c>
      <c r="AS57" s="6">
        <v>0.52300000000000002</v>
      </c>
      <c r="BA57" s="20">
        <f t="shared" si="10"/>
        <v>53</v>
      </c>
      <c r="BB57" s="6">
        <v>0.93600000000000005</v>
      </c>
      <c r="BC57" s="6">
        <v>0.52300000000000002</v>
      </c>
    </row>
    <row r="58" spans="1:55">
      <c r="A58" s="7">
        <f t="shared" si="17"/>
        <v>54</v>
      </c>
      <c r="B58" s="8" t="s">
        <v>39</v>
      </c>
      <c r="C58" s="8">
        <v>1</v>
      </c>
      <c r="D58" s="8">
        <v>0.83399999999999996</v>
      </c>
      <c r="F58">
        <v>114</v>
      </c>
      <c r="G58" t="s">
        <v>39</v>
      </c>
      <c r="H58">
        <v>0</v>
      </c>
      <c r="I58">
        <v>0.189</v>
      </c>
      <c r="K58" s="10">
        <v>0.189</v>
      </c>
      <c r="L58" s="8">
        <v>0.83399999999999996</v>
      </c>
      <c r="O58" s="2">
        <f t="shared" si="18"/>
        <v>0.69933333333333381</v>
      </c>
      <c r="P58" s="3">
        <f t="shared" si="11"/>
        <v>3.3333333333333333E-2</v>
      </c>
      <c r="Q58" s="3">
        <f t="shared" si="12"/>
        <v>0.53333333333333333</v>
      </c>
      <c r="R58" s="2">
        <f t="shared" si="13"/>
        <v>0.66600000000000048</v>
      </c>
      <c r="U58" s="7">
        <v>54</v>
      </c>
      <c r="V58" s="8" t="s">
        <v>39</v>
      </c>
      <c r="W58" s="8">
        <v>1</v>
      </c>
      <c r="X58" s="8">
        <v>2.4319999999999999</v>
      </c>
      <c r="Z58" s="7">
        <v>54</v>
      </c>
      <c r="AA58" s="8" t="s">
        <v>39</v>
      </c>
      <c r="AB58" s="8">
        <v>0</v>
      </c>
      <c r="AC58" s="8">
        <v>0.218</v>
      </c>
      <c r="AD58" s="2">
        <f t="shared" si="19"/>
        <v>0.89600000000000057</v>
      </c>
      <c r="AE58" s="8">
        <v>0.218</v>
      </c>
      <c r="AF58" s="8">
        <v>2.4319999999999999</v>
      </c>
      <c r="AH58" s="2">
        <f t="shared" si="20"/>
        <v>0.89600000000000057</v>
      </c>
      <c r="AI58" s="3">
        <f t="shared" si="14"/>
        <v>3.3333333333333333E-2</v>
      </c>
      <c r="AJ58" s="3">
        <f t="shared" si="15"/>
        <v>0.36666666666666664</v>
      </c>
      <c r="AK58" s="2">
        <f t="shared" si="16"/>
        <v>0.86266666666666725</v>
      </c>
      <c r="AN58" s="8">
        <v>0.54500000000000004</v>
      </c>
      <c r="AO58" s="8">
        <v>0.84099999999999997</v>
      </c>
      <c r="AR58" s="8">
        <v>0.84099999999999997</v>
      </c>
      <c r="AS58" s="8">
        <v>0.54500000000000004</v>
      </c>
      <c r="BA58" s="20">
        <f t="shared" si="10"/>
        <v>54</v>
      </c>
      <c r="BB58" s="8">
        <v>0.84099999999999997</v>
      </c>
      <c r="BC58" s="8">
        <v>0.54500000000000004</v>
      </c>
    </row>
    <row r="59" spans="1:55">
      <c r="A59" s="5">
        <f t="shared" si="17"/>
        <v>55</v>
      </c>
      <c r="B59" s="6" t="s">
        <v>39</v>
      </c>
      <c r="C59" s="6">
        <v>1</v>
      </c>
      <c r="D59" s="6">
        <v>0.73599999999999999</v>
      </c>
      <c r="F59">
        <v>115</v>
      </c>
      <c r="G59" t="s">
        <v>39</v>
      </c>
      <c r="H59">
        <v>0</v>
      </c>
      <c r="I59">
        <v>0.307</v>
      </c>
      <c r="K59" s="9">
        <v>0.307</v>
      </c>
      <c r="L59" s="6">
        <v>0.73599999999999999</v>
      </c>
      <c r="O59" s="2">
        <f t="shared" si="18"/>
        <v>0.71233333333333382</v>
      </c>
      <c r="P59" s="3">
        <f t="shared" si="11"/>
        <v>3.3333333333333333E-2</v>
      </c>
      <c r="Q59" s="3">
        <f t="shared" si="12"/>
        <v>0.53333333333333333</v>
      </c>
      <c r="R59" s="2">
        <f t="shared" si="13"/>
        <v>0.67900000000000049</v>
      </c>
      <c r="U59" s="5">
        <v>55</v>
      </c>
      <c r="V59" s="6" t="s">
        <v>39</v>
      </c>
      <c r="W59" s="6">
        <v>1</v>
      </c>
      <c r="X59" s="6">
        <v>2.335</v>
      </c>
      <c r="Z59" s="5">
        <v>55</v>
      </c>
      <c r="AA59" s="6" t="s">
        <v>39</v>
      </c>
      <c r="AB59" s="6">
        <v>0</v>
      </c>
      <c r="AC59" s="6">
        <v>0.379</v>
      </c>
      <c r="AD59" s="2">
        <f t="shared" si="19"/>
        <v>0.90900000000000059</v>
      </c>
      <c r="AE59" s="6">
        <v>0.379</v>
      </c>
      <c r="AF59" s="6">
        <v>2.335</v>
      </c>
      <c r="AH59" s="2">
        <f t="shared" si="20"/>
        <v>0.90900000000000059</v>
      </c>
      <c r="AI59" s="3">
        <f t="shared" si="14"/>
        <v>3.3333333333333333E-2</v>
      </c>
      <c r="AJ59" s="3">
        <f t="shared" si="15"/>
        <v>0.38333333333333336</v>
      </c>
      <c r="AK59" s="2">
        <f t="shared" si="16"/>
        <v>0.87566666666666726</v>
      </c>
      <c r="AN59" s="6">
        <v>0.57599999999999996</v>
      </c>
      <c r="AO59" s="6">
        <v>0.76500000000000001</v>
      </c>
      <c r="AR59" s="6">
        <v>0.76500000000000001</v>
      </c>
      <c r="AS59" s="6">
        <v>0.57599999999999996</v>
      </c>
      <c r="BA59" s="20">
        <f t="shared" si="10"/>
        <v>55</v>
      </c>
      <c r="BB59" s="6">
        <v>0.76500000000000001</v>
      </c>
      <c r="BC59" s="6">
        <v>0.57599999999999996</v>
      </c>
    </row>
    <row r="60" spans="1:55">
      <c r="A60" s="7">
        <f t="shared" si="17"/>
        <v>56</v>
      </c>
      <c r="B60" s="8" t="s">
        <v>39</v>
      </c>
      <c r="C60" s="8">
        <v>1</v>
      </c>
      <c r="D60" s="8">
        <v>1.248</v>
      </c>
      <c r="F60">
        <v>116</v>
      </c>
      <c r="G60" t="s">
        <v>39</v>
      </c>
      <c r="H60">
        <v>0</v>
      </c>
      <c r="I60">
        <v>0.30099999999999999</v>
      </c>
      <c r="K60" s="10">
        <v>0.30099999999999999</v>
      </c>
      <c r="L60" s="8">
        <v>1.248</v>
      </c>
      <c r="O60" s="2">
        <f t="shared" si="18"/>
        <v>0.72533333333333383</v>
      </c>
      <c r="P60" s="3">
        <f t="shared" si="11"/>
        <v>3.3333333333333333E-2</v>
      </c>
      <c r="Q60" s="3">
        <f t="shared" si="12"/>
        <v>0.53333333333333333</v>
      </c>
      <c r="R60" s="2">
        <f t="shared" si="13"/>
        <v>0.6920000000000005</v>
      </c>
      <c r="U60" s="7">
        <v>56</v>
      </c>
      <c r="V60" s="8" t="s">
        <v>39</v>
      </c>
      <c r="W60" s="8">
        <v>1</v>
      </c>
      <c r="X60" s="8">
        <v>4.5839999999999996</v>
      </c>
      <c r="Z60" s="7">
        <v>56</v>
      </c>
      <c r="AA60" s="8" t="s">
        <v>39</v>
      </c>
      <c r="AB60" s="8">
        <v>0</v>
      </c>
      <c r="AC60" s="8">
        <v>0.33800000000000002</v>
      </c>
      <c r="AD60" s="2">
        <f t="shared" si="19"/>
        <v>0.9220000000000006</v>
      </c>
      <c r="AE60" s="8">
        <v>0.33800000000000002</v>
      </c>
      <c r="AF60" s="8">
        <v>4.5839999999999996</v>
      </c>
      <c r="AH60" s="2">
        <f t="shared" si="20"/>
        <v>0.9220000000000006</v>
      </c>
      <c r="AI60" s="3">
        <f t="shared" si="14"/>
        <v>3.3333333333333333E-2</v>
      </c>
      <c r="AJ60" s="3">
        <f t="shared" si="15"/>
        <v>0.38333333333333336</v>
      </c>
      <c r="AK60" s="2">
        <f t="shared" si="16"/>
        <v>0.88866666666666727</v>
      </c>
      <c r="AN60" s="8">
        <v>0.44500000000000001</v>
      </c>
      <c r="AO60" s="8">
        <v>0.76800000000000002</v>
      </c>
      <c r="AR60" s="8">
        <v>0.76800000000000002</v>
      </c>
      <c r="AS60" s="8">
        <v>0.44500000000000001</v>
      </c>
      <c r="BA60" s="20">
        <f t="shared" si="10"/>
        <v>56</v>
      </c>
      <c r="BB60" s="8">
        <v>0.76800000000000002</v>
      </c>
      <c r="BC60" s="8">
        <v>0.44500000000000001</v>
      </c>
    </row>
    <row r="61" spans="1:55">
      <c r="A61" s="5">
        <f t="shared" si="17"/>
        <v>57</v>
      </c>
      <c r="B61" s="6" t="s">
        <v>39</v>
      </c>
      <c r="C61" s="6">
        <v>1</v>
      </c>
      <c r="D61" s="6">
        <v>0.53600000000000003</v>
      </c>
      <c r="F61">
        <v>117</v>
      </c>
      <c r="G61" t="s">
        <v>39</v>
      </c>
      <c r="H61">
        <v>0</v>
      </c>
      <c r="I61">
        <v>8.5000000000000006E-2</v>
      </c>
      <c r="K61" s="9">
        <v>8.5000000000000006E-2</v>
      </c>
      <c r="L61" s="6">
        <v>0.53600000000000003</v>
      </c>
      <c r="O61" s="2">
        <f t="shared" si="18"/>
        <v>0.73833333333333384</v>
      </c>
      <c r="P61" s="3">
        <f t="shared" si="11"/>
        <v>3.3333333333333333E-2</v>
      </c>
      <c r="Q61" s="3">
        <f t="shared" si="12"/>
        <v>0.55000000000000004</v>
      </c>
      <c r="R61" s="2">
        <f t="shared" si="13"/>
        <v>0.70500000000000052</v>
      </c>
      <c r="U61" s="5">
        <v>57</v>
      </c>
      <c r="V61" s="6" t="s">
        <v>39</v>
      </c>
      <c r="W61" s="6">
        <v>1</v>
      </c>
      <c r="X61" s="6">
        <v>1.488</v>
      </c>
      <c r="Z61" s="5">
        <v>57</v>
      </c>
      <c r="AA61" s="6" t="s">
        <v>39</v>
      </c>
      <c r="AB61" s="6">
        <v>0</v>
      </c>
      <c r="AC61" s="6">
        <v>9.1999999999999998E-2</v>
      </c>
      <c r="AD61" s="2">
        <f t="shared" si="19"/>
        <v>0.93500000000000061</v>
      </c>
      <c r="AE61" s="6">
        <v>9.1999999999999998E-2</v>
      </c>
      <c r="AF61" s="6">
        <v>1.488</v>
      </c>
      <c r="AH61" s="2">
        <f t="shared" si="20"/>
        <v>0.93500000000000061</v>
      </c>
      <c r="AI61" s="3">
        <f t="shared" si="14"/>
        <v>3.3333333333333333E-2</v>
      </c>
      <c r="AJ61" s="3">
        <f t="shared" si="15"/>
        <v>0.38333333333333336</v>
      </c>
      <c r="AK61" s="2">
        <f t="shared" si="16"/>
        <v>0.90166666666666728</v>
      </c>
      <c r="AN61" s="6">
        <v>0.65100000000000002</v>
      </c>
      <c r="AO61" s="6">
        <v>0.92200000000000004</v>
      </c>
      <c r="AR61" s="6">
        <v>0.92200000000000004</v>
      </c>
      <c r="AS61" s="6">
        <v>0.65100000000000002</v>
      </c>
      <c r="BA61" s="20">
        <f t="shared" si="10"/>
        <v>57</v>
      </c>
      <c r="BB61" s="6">
        <v>0.92200000000000004</v>
      </c>
      <c r="BC61" s="6">
        <v>0.65100000000000002</v>
      </c>
    </row>
    <row r="62" spans="1:55">
      <c r="A62" s="7">
        <f t="shared" si="17"/>
        <v>58</v>
      </c>
      <c r="B62" s="8" t="s">
        <v>39</v>
      </c>
      <c r="C62" s="8">
        <v>1</v>
      </c>
      <c r="D62" s="8">
        <v>1.548</v>
      </c>
      <c r="F62">
        <v>118</v>
      </c>
      <c r="G62" t="s">
        <v>39</v>
      </c>
      <c r="H62">
        <v>0</v>
      </c>
      <c r="I62">
        <v>0.193</v>
      </c>
      <c r="K62" s="10">
        <v>0.193</v>
      </c>
      <c r="L62" s="8">
        <v>1.548</v>
      </c>
      <c r="O62" s="2">
        <f t="shared" si="18"/>
        <v>0.75133333333333385</v>
      </c>
      <c r="P62" s="3">
        <f t="shared" si="11"/>
        <v>3.3333333333333333E-2</v>
      </c>
      <c r="Q62" s="3">
        <f t="shared" si="12"/>
        <v>0.55000000000000004</v>
      </c>
      <c r="R62" s="2">
        <f t="shared" si="13"/>
        <v>0.71800000000000053</v>
      </c>
      <c r="U62" s="7">
        <v>58</v>
      </c>
      <c r="V62" s="8" t="s">
        <v>39</v>
      </c>
      <c r="W62" s="8">
        <v>1</v>
      </c>
      <c r="X62" s="8">
        <v>1.629</v>
      </c>
      <c r="Z62" s="7">
        <v>58</v>
      </c>
      <c r="AA62" s="8" t="s">
        <v>39</v>
      </c>
      <c r="AB62" s="8">
        <v>0</v>
      </c>
      <c r="AC62" s="8">
        <v>0.247</v>
      </c>
      <c r="AD62" s="2">
        <f t="shared" si="19"/>
        <v>0.94800000000000062</v>
      </c>
      <c r="AE62" s="8">
        <v>0.247</v>
      </c>
      <c r="AF62" s="8">
        <v>1.629</v>
      </c>
      <c r="AH62" s="2">
        <f t="shared" si="20"/>
        <v>0.94800000000000062</v>
      </c>
      <c r="AI62" s="3">
        <f t="shared" si="14"/>
        <v>3.3333333333333333E-2</v>
      </c>
      <c r="AJ62" s="3">
        <f t="shared" si="15"/>
        <v>0.38333333333333336</v>
      </c>
      <c r="AK62" s="2">
        <f t="shared" si="16"/>
        <v>0.91466666666666729</v>
      </c>
      <c r="AN62" s="8">
        <v>0.39300000000000002</v>
      </c>
      <c r="AO62" s="8">
        <v>0.83799999999999997</v>
      </c>
      <c r="AR62" s="8">
        <v>0.83799999999999997</v>
      </c>
      <c r="AS62" s="8">
        <v>0.39300000000000002</v>
      </c>
      <c r="BA62" s="20">
        <f t="shared" si="10"/>
        <v>58</v>
      </c>
      <c r="BB62" s="8">
        <v>0.83799999999999997</v>
      </c>
      <c r="BC62" s="8">
        <v>0.39300000000000002</v>
      </c>
    </row>
    <row r="63" spans="1:55">
      <c r="A63" s="5">
        <f t="shared" si="17"/>
        <v>59</v>
      </c>
      <c r="B63" s="6" t="s">
        <v>39</v>
      </c>
      <c r="C63" s="6">
        <v>1</v>
      </c>
      <c r="D63" s="6">
        <v>0.432</v>
      </c>
      <c r="F63">
        <v>119</v>
      </c>
      <c r="G63" t="s">
        <v>39</v>
      </c>
      <c r="H63">
        <v>0</v>
      </c>
      <c r="I63">
        <v>0.13300000000000001</v>
      </c>
      <c r="K63" s="9">
        <v>0.13300000000000001</v>
      </c>
      <c r="L63" s="6">
        <v>0.432</v>
      </c>
      <c r="O63" s="2">
        <f t="shared" si="18"/>
        <v>0.76433333333333386</v>
      </c>
      <c r="P63" s="3">
        <f t="shared" si="11"/>
        <v>3.3333333333333333E-2</v>
      </c>
      <c r="Q63" s="3">
        <f t="shared" si="12"/>
        <v>0.56666666666666665</v>
      </c>
      <c r="R63" s="2">
        <f t="shared" si="13"/>
        <v>0.73100000000000054</v>
      </c>
      <c r="U63" s="5">
        <v>59</v>
      </c>
      <c r="V63" s="6" t="s">
        <v>39</v>
      </c>
      <c r="W63" s="6">
        <v>1</v>
      </c>
      <c r="X63" s="6">
        <v>1.625</v>
      </c>
      <c r="Z63" s="5">
        <v>59</v>
      </c>
      <c r="AA63" s="6" t="s">
        <v>39</v>
      </c>
      <c r="AB63" s="6">
        <v>0</v>
      </c>
      <c r="AC63" s="6">
        <v>0.16900000000000001</v>
      </c>
      <c r="AD63" s="2">
        <f t="shared" si="19"/>
        <v>0.96100000000000063</v>
      </c>
      <c r="AE63" s="6">
        <v>0.16900000000000001</v>
      </c>
      <c r="AF63" s="6">
        <v>1.625</v>
      </c>
      <c r="AH63" s="2">
        <f t="shared" si="20"/>
        <v>0.96100000000000063</v>
      </c>
      <c r="AI63" s="3">
        <f t="shared" si="14"/>
        <v>3.3333333333333333E-2</v>
      </c>
      <c r="AJ63" s="3">
        <f t="shared" si="15"/>
        <v>0.38333333333333336</v>
      </c>
      <c r="AK63" s="2">
        <f t="shared" si="16"/>
        <v>0.92766666666666731</v>
      </c>
      <c r="AN63" s="6">
        <v>0.69799999999999995</v>
      </c>
      <c r="AO63" s="6">
        <v>0.88300000000000001</v>
      </c>
      <c r="AR63" s="6">
        <v>0.88300000000000001</v>
      </c>
      <c r="AS63" s="6">
        <v>0.69799999999999995</v>
      </c>
      <c r="BA63" s="20">
        <f t="shared" si="10"/>
        <v>59</v>
      </c>
      <c r="BB63" s="6">
        <v>0.88300000000000001</v>
      </c>
      <c r="BC63" s="6">
        <v>0.69799999999999995</v>
      </c>
    </row>
    <row r="64" spans="1:55">
      <c r="A64" s="7">
        <f t="shared" si="17"/>
        <v>60</v>
      </c>
      <c r="B64" s="8" t="s">
        <v>39</v>
      </c>
      <c r="C64" s="8">
        <v>1</v>
      </c>
      <c r="D64" s="8">
        <v>0.56699999999999995</v>
      </c>
      <c r="F64">
        <v>120</v>
      </c>
      <c r="G64" t="s">
        <v>39</v>
      </c>
      <c r="H64">
        <v>0</v>
      </c>
      <c r="I64">
        <v>0.16900000000000001</v>
      </c>
      <c r="K64" s="10">
        <v>0.16900000000000001</v>
      </c>
      <c r="L64" s="8">
        <v>0.56699999999999995</v>
      </c>
      <c r="O64" s="2">
        <f t="shared" si="18"/>
        <v>0.77733333333333388</v>
      </c>
      <c r="P64" s="3">
        <f t="shared" si="11"/>
        <v>3.3333333333333333E-2</v>
      </c>
      <c r="Q64" s="3">
        <f t="shared" si="12"/>
        <v>0.56666666666666665</v>
      </c>
      <c r="R64" s="2">
        <f t="shared" si="13"/>
        <v>0.74400000000000055</v>
      </c>
      <c r="U64" s="7">
        <v>60</v>
      </c>
      <c r="V64" s="8" t="s">
        <v>39</v>
      </c>
      <c r="W64" s="8">
        <v>1</v>
      </c>
      <c r="X64" s="8">
        <v>1.7410000000000001</v>
      </c>
      <c r="Z64" s="7">
        <v>60</v>
      </c>
      <c r="AA64" s="8" t="s">
        <v>39</v>
      </c>
      <c r="AB64" s="8">
        <v>0</v>
      </c>
      <c r="AC64" s="8">
        <v>0.28599999999999998</v>
      </c>
      <c r="AD64" s="2">
        <f t="shared" si="19"/>
        <v>0.97400000000000064</v>
      </c>
      <c r="AE64" s="8">
        <v>0.28599999999999998</v>
      </c>
      <c r="AF64" s="8">
        <v>1.7410000000000001</v>
      </c>
      <c r="AH64" s="2">
        <f t="shared" si="20"/>
        <v>0.97400000000000064</v>
      </c>
      <c r="AI64" s="3">
        <f t="shared" si="14"/>
        <v>3.3333333333333333E-2</v>
      </c>
      <c r="AJ64" s="3">
        <f t="shared" si="15"/>
        <v>0.38333333333333336</v>
      </c>
      <c r="AK64" s="2">
        <f t="shared" si="16"/>
        <v>0.94066666666666732</v>
      </c>
      <c r="AN64" s="8">
        <v>0.63800000000000001</v>
      </c>
      <c r="AO64" s="8">
        <v>0.85499999999999998</v>
      </c>
      <c r="AR64" s="8">
        <v>0.85499999999999998</v>
      </c>
      <c r="AS64" s="8">
        <v>0.63800000000000001</v>
      </c>
      <c r="BA64" s="20">
        <f t="shared" si="10"/>
        <v>60</v>
      </c>
      <c r="BB64" s="8">
        <v>0.85499999999999998</v>
      </c>
      <c r="BC64" s="8">
        <v>0.63800000000000001</v>
      </c>
    </row>
    <row r="70" spans="35:40">
      <c r="AI70" s="4" t="s">
        <v>124</v>
      </c>
      <c r="AJ70" s="18" t="s">
        <v>129</v>
      </c>
      <c r="AK70" s="13" t="s">
        <v>113</v>
      </c>
      <c r="AM70" s="18" t="s">
        <v>147</v>
      </c>
      <c r="AN70" s="18" t="s">
        <v>149</v>
      </c>
    </row>
    <row r="71" spans="35:40">
      <c r="AI71" s="2">
        <v>0.1</v>
      </c>
      <c r="AJ71" s="9">
        <v>0.26500000000000001</v>
      </c>
      <c r="AK71" s="6">
        <v>0.13900000000000001</v>
      </c>
      <c r="AM71" s="6">
        <v>0.32200000000000001</v>
      </c>
      <c r="AN71" s="6">
        <v>0.191</v>
      </c>
    </row>
    <row r="72" spans="35:40">
      <c r="AI72" s="2">
        <f>AI71+0.01</f>
        <v>0.11</v>
      </c>
      <c r="AJ72" s="10">
        <v>0.159</v>
      </c>
      <c r="AK72" s="8">
        <v>3.6070000000000002</v>
      </c>
      <c r="AM72" s="8">
        <v>0.20599999999999999</v>
      </c>
      <c r="AN72" s="8">
        <v>12.323</v>
      </c>
    </row>
    <row r="73" spans="35:40">
      <c r="AI73" s="2">
        <f t="shared" ref="AI73:AI104" si="21">AI72+0.013</f>
        <v>0.123</v>
      </c>
      <c r="AJ73" s="9">
        <v>0.373</v>
      </c>
      <c r="AK73" s="6">
        <v>0.63900000000000001</v>
      </c>
      <c r="AM73" s="6">
        <v>0.50700000000000001</v>
      </c>
      <c r="AN73" s="6">
        <v>0.90500000000000003</v>
      </c>
    </row>
    <row r="74" spans="35:40">
      <c r="AI74" s="2">
        <f t="shared" si="21"/>
        <v>0.13600000000000001</v>
      </c>
      <c r="AJ74" s="10">
        <v>0.28699999999999998</v>
      </c>
      <c r="AK74" s="8">
        <v>0.93200000000000005</v>
      </c>
      <c r="AM74" s="8">
        <v>0.36699999999999999</v>
      </c>
      <c r="AN74" s="8">
        <v>1.1379999999999999</v>
      </c>
    </row>
    <row r="75" spans="35:40">
      <c r="AI75" s="2">
        <f t="shared" si="21"/>
        <v>0.14900000000000002</v>
      </c>
      <c r="AJ75" s="9">
        <v>0.33700000000000002</v>
      </c>
      <c r="AK75" s="6">
        <v>1.4350000000000001</v>
      </c>
      <c r="AM75" s="6">
        <v>0.38200000000000001</v>
      </c>
      <c r="AN75" s="6">
        <v>1.712</v>
      </c>
    </row>
    <row r="76" spans="35:40">
      <c r="AI76" s="2">
        <f t="shared" si="21"/>
        <v>0.16200000000000003</v>
      </c>
      <c r="AJ76" s="10">
        <v>0.13600000000000001</v>
      </c>
      <c r="AK76" s="8">
        <v>0.17399999999999999</v>
      </c>
      <c r="AM76" s="8">
        <v>0.308</v>
      </c>
      <c r="AN76" s="8">
        <v>0.23799999999999999</v>
      </c>
    </row>
    <row r="77" spans="35:40">
      <c r="AI77" s="2">
        <f t="shared" si="21"/>
        <v>0.17500000000000004</v>
      </c>
      <c r="AJ77" s="9">
        <v>0.129</v>
      </c>
      <c r="AK77" s="6">
        <v>0.58499999999999996</v>
      </c>
      <c r="AM77" s="6">
        <v>0.42</v>
      </c>
      <c r="AN77" s="6">
        <v>0.63800000000000001</v>
      </c>
    </row>
    <row r="78" spans="35:40">
      <c r="AI78" s="2">
        <f t="shared" si="21"/>
        <v>0.18800000000000006</v>
      </c>
      <c r="AJ78" s="10">
        <v>0.17899999999999999</v>
      </c>
      <c r="AK78" s="8">
        <v>0.92400000000000004</v>
      </c>
      <c r="AM78" s="8">
        <v>0.314</v>
      </c>
      <c r="AN78" s="8">
        <v>2.1579999999999999</v>
      </c>
    </row>
    <row r="79" spans="35:40">
      <c r="AI79" s="2">
        <f t="shared" si="21"/>
        <v>0.20100000000000007</v>
      </c>
      <c r="AJ79" s="9">
        <v>0.22800000000000001</v>
      </c>
      <c r="AK79" s="6">
        <v>0.78300000000000003</v>
      </c>
      <c r="AM79" s="6">
        <v>0.33400000000000002</v>
      </c>
      <c r="AN79" s="6">
        <v>1.113</v>
      </c>
    </row>
    <row r="80" spans="35:40">
      <c r="AI80" s="2">
        <f t="shared" si="21"/>
        <v>0.21400000000000008</v>
      </c>
      <c r="AJ80" s="10">
        <v>0.14399999999999999</v>
      </c>
      <c r="AK80" s="8">
        <v>1.264</v>
      </c>
      <c r="AM80" s="8">
        <v>0.23400000000000001</v>
      </c>
      <c r="AN80" s="8">
        <v>1.5469999999999999</v>
      </c>
    </row>
    <row r="81" spans="35:40">
      <c r="AI81" s="2">
        <f t="shared" si="21"/>
        <v>0.22700000000000009</v>
      </c>
      <c r="AJ81" s="9">
        <v>0.124</v>
      </c>
      <c r="AK81" s="6">
        <v>1.3819999999999999</v>
      </c>
      <c r="AM81" s="6">
        <v>0.20799999999999999</v>
      </c>
      <c r="AN81" s="6">
        <v>3.0489999999999999</v>
      </c>
    </row>
    <row r="82" spans="35:40">
      <c r="AI82" s="2">
        <f t="shared" si="21"/>
        <v>0.2400000000000001</v>
      </c>
      <c r="AJ82" s="10">
        <v>0.15</v>
      </c>
      <c r="AK82" s="8">
        <v>1.089</v>
      </c>
      <c r="AM82" s="8">
        <v>0.157</v>
      </c>
      <c r="AN82" s="8">
        <v>1.2170000000000001</v>
      </c>
    </row>
    <row r="83" spans="35:40">
      <c r="AI83" s="2">
        <f t="shared" si="21"/>
        <v>0.25300000000000011</v>
      </c>
      <c r="AJ83" s="9">
        <v>0.13500000000000001</v>
      </c>
      <c r="AK83" s="6">
        <v>2.89</v>
      </c>
      <c r="AM83" s="6">
        <v>0.30499999999999999</v>
      </c>
      <c r="AN83" s="6">
        <v>3.3740000000000001</v>
      </c>
    </row>
    <row r="84" spans="35:40">
      <c r="AI84" s="2">
        <f t="shared" si="21"/>
        <v>0.26600000000000013</v>
      </c>
      <c r="AJ84" s="10">
        <v>0.14699999999999999</v>
      </c>
      <c r="AK84" s="8">
        <v>0.16700000000000001</v>
      </c>
      <c r="AM84" s="8">
        <v>0.23</v>
      </c>
      <c r="AN84" s="8">
        <v>0.377</v>
      </c>
    </row>
    <row r="85" spans="35:40">
      <c r="AI85" s="2">
        <f t="shared" si="21"/>
        <v>0.27900000000000014</v>
      </c>
      <c r="AJ85" s="9">
        <v>0.31</v>
      </c>
      <c r="AK85" s="6">
        <v>1.1299999999999999</v>
      </c>
      <c r="AM85" s="6">
        <v>0.438</v>
      </c>
      <c r="AN85" s="6">
        <v>1.294</v>
      </c>
    </row>
    <row r="86" spans="35:40">
      <c r="AI86" s="2">
        <f t="shared" si="21"/>
        <v>0.29200000000000015</v>
      </c>
      <c r="AJ86" s="10">
        <v>0.254</v>
      </c>
      <c r="AK86" s="8">
        <v>1.0680000000000001</v>
      </c>
      <c r="AM86" s="8">
        <v>0.34899999999999998</v>
      </c>
      <c r="AN86" s="8">
        <v>1.212</v>
      </c>
    </row>
    <row r="87" spans="35:40">
      <c r="AI87" s="2">
        <f t="shared" si="21"/>
        <v>0.30500000000000016</v>
      </c>
      <c r="AJ87" s="9">
        <v>0.09</v>
      </c>
      <c r="AK87" s="6">
        <v>0.96499999999999997</v>
      </c>
      <c r="AM87" s="6">
        <v>0.188</v>
      </c>
      <c r="AN87" s="6">
        <v>1.262</v>
      </c>
    </row>
    <row r="88" spans="35:40">
      <c r="AI88" s="2">
        <f t="shared" si="21"/>
        <v>0.31800000000000017</v>
      </c>
      <c r="AJ88" s="10">
        <v>0.154</v>
      </c>
      <c r="AK88" s="8">
        <v>1.6220000000000001</v>
      </c>
      <c r="AM88" s="8">
        <v>0.20200000000000001</v>
      </c>
      <c r="AN88" s="8">
        <v>2.0489999999999999</v>
      </c>
    </row>
    <row r="89" spans="35:40">
      <c r="AI89" s="2">
        <f t="shared" si="21"/>
        <v>0.33100000000000018</v>
      </c>
      <c r="AJ89" s="9">
        <v>0.249</v>
      </c>
      <c r="AK89" s="6">
        <v>1.016</v>
      </c>
      <c r="AM89" s="6">
        <v>0.42499999999999999</v>
      </c>
      <c r="AN89" s="6">
        <v>1.5169999999999999</v>
      </c>
    </row>
    <row r="90" spans="35:40">
      <c r="AI90" s="2">
        <f t="shared" si="21"/>
        <v>0.34400000000000019</v>
      </c>
      <c r="AJ90" s="10">
        <v>0.35</v>
      </c>
      <c r="AK90" s="8">
        <v>2.65</v>
      </c>
      <c r="AM90" s="8">
        <v>0.41</v>
      </c>
      <c r="AN90" s="8">
        <v>3.3740000000000001</v>
      </c>
    </row>
    <row r="91" spans="35:40">
      <c r="AI91" s="2">
        <f t="shared" si="21"/>
        <v>0.35700000000000021</v>
      </c>
      <c r="AJ91" s="9">
        <v>4.7E-2</v>
      </c>
      <c r="AK91" s="6">
        <v>0.95499999999999996</v>
      </c>
      <c r="AM91" s="6">
        <v>7.0999999999999994E-2</v>
      </c>
      <c r="AN91" s="6">
        <v>1.0880000000000001</v>
      </c>
    </row>
    <row r="92" spans="35:40">
      <c r="AI92" s="2">
        <f t="shared" si="21"/>
        <v>0.37000000000000022</v>
      </c>
      <c r="AJ92" s="10">
        <v>0.129</v>
      </c>
      <c r="AK92" s="8">
        <v>0.45900000000000002</v>
      </c>
      <c r="AM92" s="8">
        <v>0.14000000000000001</v>
      </c>
      <c r="AN92" s="8">
        <v>0.79600000000000004</v>
      </c>
    </row>
    <row r="93" spans="35:40">
      <c r="AI93" s="2">
        <f t="shared" si="21"/>
        <v>0.38300000000000023</v>
      </c>
      <c r="AJ93" s="9">
        <v>6.7000000000000004E-2</v>
      </c>
      <c r="AK93" s="6">
        <v>0.76</v>
      </c>
      <c r="AM93" s="6">
        <v>0.14599999999999999</v>
      </c>
      <c r="AN93" s="6">
        <v>0.83799999999999997</v>
      </c>
    </row>
    <row r="94" spans="35:40">
      <c r="AI94" s="2">
        <f t="shared" si="21"/>
        <v>0.39600000000000024</v>
      </c>
      <c r="AJ94" s="10">
        <v>0.22900000000000001</v>
      </c>
      <c r="AK94" s="8">
        <v>0.95499999999999996</v>
      </c>
      <c r="AM94" s="8">
        <v>0.27600000000000002</v>
      </c>
      <c r="AN94" s="8">
        <v>1.0880000000000001</v>
      </c>
    </row>
    <row r="95" spans="35:40">
      <c r="AI95" s="2">
        <f t="shared" si="21"/>
        <v>0.40900000000000025</v>
      </c>
      <c r="AJ95" s="9">
        <v>0.13200000000000001</v>
      </c>
      <c r="AK95" s="6">
        <v>0.45900000000000002</v>
      </c>
      <c r="AM95" s="6">
        <v>0.27900000000000003</v>
      </c>
      <c r="AN95" s="6">
        <v>0.79600000000000004</v>
      </c>
    </row>
    <row r="96" spans="35:40">
      <c r="AI96" s="2">
        <f t="shared" si="21"/>
        <v>0.42200000000000026</v>
      </c>
      <c r="AJ96" s="10">
        <v>0.22800000000000001</v>
      </c>
      <c r="AK96" s="8">
        <v>0.55200000000000005</v>
      </c>
      <c r="AM96" s="8">
        <v>0.40400000000000003</v>
      </c>
      <c r="AN96" s="8">
        <v>1.4410000000000001</v>
      </c>
    </row>
    <row r="97" spans="35:40">
      <c r="AI97" s="2">
        <f t="shared" si="21"/>
        <v>0.43500000000000028</v>
      </c>
      <c r="AJ97" s="9">
        <v>3.5999999999999997E-2</v>
      </c>
      <c r="AK97" s="6">
        <v>0.94499999999999995</v>
      </c>
      <c r="AM97" s="6">
        <v>9.6000000000000002E-2</v>
      </c>
      <c r="AN97" s="6">
        <v>1.2170000000000001</v>
      </c>
    </row>
    <row r="98" spans="35:40">
      <c r="AI98" s="2">
        <f t="shared" si="21"/>
        <v>0.44800000000000029</v>
      </c>
      <c r="AJ98" s="10">
        <v>0.92100000000000004</v>
      </c>
      <c r="AK98" s="8">
        <v>0.45900000000000002</v>
      </c>
      <c r="AM98" s="8">
        <v>1.341</v>
      </c>
      <c r="AN98" s="8">
        <v>0.79600000000000004</v>
      </c>
    </row>
    <row r="99" spans="35:40">
      <c r="AI99" s="2">
        <f t="shared" si="21"/>
        <v>0.4610000000000003</v>
      </c>
      <c r="AJ99" s="9">
        <v>0.67800000000000005</v>
      </c>
      <c r="AK99" s="6">
        <v>0.55200000000000005</v>
      </c>
      <c r="AM99" s="6">
        <v>0.89500000000000002</v>
      </c>
      <c r="AN99" s="6">
        <v>1.4410000000000001</v>
      </c>
    </row>
    <row r="100" spans="35:40">
      <c r="AI100" s="2">
        <f t="shared" si="21"/>
        <v>0.47400000000000031</v>
      </c>
      <c r="AJ100" s="10">
        <v>0.61599999999999999</v>
      </c>
      <c r="AK100" s="8">
        <v>0.94499999999999995</v>
      </c>
      <c r="AM100" s="8">
        <v>0.83699999999999997</v>
      </c>
      <c r="AN100" s="8">
        <v>1.2170000000000001</v>
      </c>
    </row>
    <row r="101" spans="35:40">
      <c r="AI101" s="2">
        <f t="shared" si="21"/>
        <v>0.48700000000000032</v>
      </c>
      <c r="AJ101" s="9">
        <v>0.26</v>
      </c>
      <c r="AK101" s="6">
        <v>0.58399999999999996</v>
      </c>
      <c r="AM101" s="6">
        <v>0.33700000000000002</v>
      </c>
      <c r="AN101" s="6">
        <v>0.63100000000000001</v>
      </c>
    </row>
    <row r="102" spans="35:40">
      <c r="AI102" s="2">
        <f t="shared" si="21"/>
        <v>0.50000000000000033</v>
      </c>
      <c r="AJ102" s="10">
        <v>4.5999999999999999E-2</v>
      </c>
      <c r="AK102" s="8">
        <v>1.9770000000000001</v>
      </c>
      <c r="AM102" s="8">
        <v>7.2999999999999995E-2</v>
      </c>
      <c r="AN102" s="8">
        <v>6.0709999999999997</v>
      </c>
    </row>
    <row r="103" spans="35:40">
      <c r="AI103" s="2">
        <f t="shared" si="21"/>
        <v>0.51300000000000034</v>
      </c>
      <c r="AJ103" s="9">
        <v>0.28199999999999997</v>
      </c>
      <c r="AK103" s="6">
        <v>0.58599999999999997</v>
      </c>
      <c r="AM103" s="6">
        <v>0.42199999999999999</v>
      </c>
      <c r="AN103" s="6">
        <v>0.65100000000000002</v>
      </c>
    </row>
    <row r="104" spans="35:40">
      <c r="AI104" s="2">
        <f t="shared" si="21"/>
        <v>0.52600000000000036</v>
      </c>
      <c r="AJ104" s="10">
        <v>0.157</v>
      </c>
      <c r="AK104" s="8">
        <v>0.60399999999999998</v>
      </c>
      <c r="AM104" s="8">
        <v>0.39100000000000001</v>
      </c>
      <c r="AN104" s="8">
        <v>1.091</v>
      </c>
    </row>
    <row r="105" spans="35:40">
      <c r="AI105" s="2">
        <f t="shared" ref="AI105:AI130" si="22">AI104+0.013</f>
        <v>0.53900000000000037</v>
      </c>
      <c r="AJ105" s="9">
        <v>0.32200000000000001</v>
      </c>
      <c r="AK105" s="6">
        <v>0.63200000000000001</v>
      </c>
      <c r="AM105" s="6">
        <v>0.38500000000000001</v>
      </c>
      <c r="AN105" s="6">
        <v>1.157</v>
      </c>
    </row>
    <row r="106" spans="35:40">
      <c r="AI106" s="2">
        <f t="shared" si="22"/>
        <v>0.55200000000000038</v>
      </c>
      <c r="AJ106" s="10">
        <v>0.219</v>
      </c>
      <c r="AK106" s="8">
        <v>0.52900000000000003</v>
      </c>
      <c r="AM106" s="8">
        <v>0.29499999999999998</v>
      </c>
      <c r="AN106" s="8">
        <v>0.77</v>
      </c>
    </row>
    <row r="107" spans="35:40">
      <c r="AI107" s="2">
        <f t="shared" si="22"/>
        <v>0.56500000000000039</v>
      </c>
      <c r="AJ107" s="9">
        <v>0.248</v>
      </c>
      <c r="AK107" s="6">
        <v>0.433</v>
      </c>
      <c r="AM107" s="6">
        <v>0.28999999999999998</v>
      </c>
      <c r="AN107" s="6">
        <v>1.111</v>
      </c>
    </row>
    <row r="108" spans="35:40">
      <c r="AI108" s="2">
        <f t="shared" si="22"/>
        <v>0.5780000000000004</v>
      </c>
      <c r="AJ108" s="10">
        <v>9.1790000000000003</v>
      </c>
      <c r="AK108" s="8">
        <v>0.376</v>
      </c>
      <c r="AM108" s="8">
        <v>35.81</v>
      </c>
      <c r="AN108" s="8">
        <v>0.41499999999999998</v>
      </c>
    </row>
    <row r="109" spans="35:40">
      <c r="AI109" s="2">
        <f t="shared" si="22"/>
        <v>0.59100000000000041</v>
      </c>
      <c r="AJ109" s="9">
        <v>0.17699999999999999</v>
      </c>
      <c r="AK109" s="6">
        <v>0.46700000000000003</v>
      </c>
      <c r="AM109" s="6">
        <v>0.22500000000000001</v>
      </c>
      <c r="AN109" s="6">
        <v>0.67100000000000004</v>
      </c>
    </row>
    <row r="110" spans="35:40">
      <c r="AI110" s="2">
        <f t="shared" si="22"/>
        <v>0.60400000000000043</v>
      </c>
      <c r="AJ110" s="10">
        <v>0.25800000000000001</v>
      </c>
      <c r="AK110" s="8">
        <v>0.56299999999999994</v>
      </c>
      <c r="AM110" s="8">
        <v>0.57399999999999995</v>
      </c>
      <c r="AN110" s="8">
        <v>0.71699999999999997</v>
      </c>
    </row>
    <row r="111" spans="35:40">
      <c r="AI111" s="2">
        <f t="shared" si="22"/>
        <v>0.61700000000000044</v>
      </c>
      <c r="AJ111" s="9">
        <v>0.16</v>
      </c>
      <c r="AK111" s="6">
        <v>0.86699999999999999</v>
      </c>
      <c r="AM111" s="6">
        <v>0.21099999999999999</v>
      </c>
      <c r="AN111" s="6">
        <v>2.2160000000000002</v>
      </c>
    </row>
    <row r="112" spans="35:40">
      <c r="AI112" s="2">
        <f t="shared" si="22"/>
        <v>0.63000000000000045</v>
      </c>
      <c r="AJ112" s="10">
        <v>0.24199999999999999</v>
      </c>
      <c r="AK112" s="8">
        <v>0.49</v>
      </c>
      <c r="AM112" s="8">
        <v>0.40200000000000002</v>
      </c>
      <c r="AN112" s="8">
        <v>0.53</v>
      </c>
    </row>
    <row r="113" spans="35:40">
      <c r="AI113" s="2">
        <f t="shared" si="22"/>
        <v>0.64300000000000046</v>
      </c>
      <c r="AJ113" s="9">
        <v>0.35299999999999998</v>
      </c>
      <c r="AK113" s="6">
        <v>0.34799999999999998</v>
      </c>
      <c r="AM113" s="6">
        <v>0.48299999999999998</v>
      </c>
      <c r="AN113" s="6">
        <v>0.76100000000000001</v>
      </c>
    </row>
    <row r="114" spans="35:40">
      <c r="AI114" s="2">
        <f t="shared" si="22"/>
        <v>0.65600000000000047</v>
      </c>
      <c r="AJ114" s="10">
        <v>0.14799999999999999</v>
      </c>
      <c r="AK114" s="8">
        <v>0.41099999999999998</v>
      </c>
      <c r="AM114" s="8">
        <v>0.26300000000000001</v>
      </c>
      <c r="AN114" s="8">
        <v>0.55200000000000005</v>
      </c>
    </row>
    <row r="115" spans="35:40">
      <c r="AI115" s="2">
        <f t="shared" si="22"/>
        <v>0.66900000000000048</v>
      </c>
      <c r="AJ115" s="9">
        <v>0.111</v>
      </c>
      <c r="AK115" s="6">
        <v>0.54</v>
      </c>
      <c r="AM115" s="6">
        <v>0.41199999999999998</v>
      </c>
      <c r="AN115" s="6">
        <v>0.68799999999999994</v>
      </c>
    </row>
    <row r="116" spans="35:40">
      <c r="AI116" s="2">
        <f t="shared" si="22"/>
        <v>0.68200000000000049</v>
      </c>
      <c r="AJ116" s="10">
        <v>7.9000000000000001E-2</v>
      </c>
      <c r="AK116" s="8">
        <v>1.2629999999999999</v>
      </c>
      <c r="AM116" s="8">
        <v>0.21199999999999999</v>
      </c>
      <c r="AN116" s="8">
        <v>3.51</v>
      </c>
    </row>
    <row r="117" spans="35:40">
      <c r="AI117" s="2">
        <f t="shared" si="22"/>
        <v>0.69500000000000051</v>
      </c>
      <c r="AJ117" s="9">
        <v>6.6000000000000003E-2</v>
      </c>
      <c r="AK117" s="6">
        <v>0.52</v>
      </c>
      <c r="AM117" s="6">
        <v>0.23100000000000001</v>
      </c>
      <c r="AN117" s="6">
        <v>0.629</v>
      </c>
    </row>
    <row r="118" spans="35:40">
      <c r="AI118" s="2">
        <f t="shared" si="22"/>
        <v>0.70800000000000052</v>
      </c>
      <c r="AJ118" s="10">
        <v>0.29599999999999999</v>
      </c>
      <c r="AK118" s="8">
        <v>0.46899999999999997</v>
      </c>
      <c r="AM118" s="8">
        <v>0.72299999999999998</v>
      </c>
      <c r="AN118" s="8">
        <v>0.56399999999999995</v>
      </c>
    </row>
    <row r="119" spans="35:40">
      <c r="AI119" s="2">
        <f t="shared" si="22"/>
        <v>0.72100000000000053</v>
      </c>
      <c r="AJ119" s="9">
        <v>0.29599999999999999</v>
      </c>
      <c r="AK119" s="6">
        <v>0.11</v>
      </c>
      <c r="AM119" s="6">
        <v>0.72299999999999998</v>
      </c>
      <c r="AN119" s="6">
        <v>0.4</v>
      </c>
    </row>
    <row r="120" spans="35:40">
      <c r="AI120" s="2">
        <f t="shared" si="22"/>
        <v>0.73400000000000054</v>
      </c>
      <c r="AJ120" s="10">
        <v>0.25600000000000001</v>
      </c>
      <c r="AK120" s="8">
        <v>0.55700000000000005</v>
      </c>
      <c r="AM120" s="8">
        <v>0.37</v>
      </c>
      <c r="AN120" s="8">
        <v>0.59699999999999998</v>
      </c>
    </row>
    <row r="121" spans="35:40">
      <c r="AI121" s="2">
        <f t="shared" si="22"/>
        <v>0.74700000000000055</v>
      </c>
      <c r="AJ121" s="9">
        <v>8.5000000000000006E-2</v>
      </c>
      <c r="AK121" s="6">
        <v>0.63700000000000001</v>
      </c>
      <c r="AM121" s="6">
        <v>0.379</v>
      </c>
      <c r="AN121" s="6">
        <v>1.9490000000000001</v>
      </c>
    </row>
    <row r="122" spans="35:40">
      <c r="AI122" s="2">
        <f t="shared" si="22"/>
        <v>0.76000000000000056</v>
      </c>
      <c r="AJ122" s="10">
        <v>0.23899999999999999</v>
      </c>
      <c r="AK122" s="8">
        <v>0.53700000000000003</v>
      </c>
      <c r="AM122" s="8">
        <v>0.34200000000000003</v>
      </c>
      <c r="AN122" s="8">
        <v>1.7490000000000001</v>
      </c>
    </row>
    <row r="123" spans="35:40">
      <c r="AI123" s="2">
        <f t="shared" si="22"/>
        <v>0.77300000000000058</v>
      </c>
      <c r="AJ123" s="9">
        <v>6.8000000000000005E-2</v>
      </c>
      <c r="AK123" s="6">
        <v>0.91300000000000003</v>
      </c>
      <c r="AM123" s="6">
        <v>9.1999999999999998E-2</v>
      </c>
      <c r="AN123" s="6">
        <v>3.33</v>
      </c>
    </row>
    <row r="124" spans="35:40">
      <c r="AI124" s="2">
        <f t="shared" si="22"/>
        <v>0.78600000000000059</v>
      </c>
      <c r="AJ124" s="10">
        <v>0.189</v>
      </c>
      <c r="AK124" s="8">
        <v>0.83399999999999996</v>
      </c>
      <c r="AM124" s="8">
        <v>0.218</v>
      </c>
      <c r="AN124" s="8">
        <v>2.4319999999999999</v>
      </c>
    </row>
    <row r="125" spans="35:40">
      <c r="AI125" s="2">
        <f t="shared" si="22"/>
        <v>0.7990000000000006</v>
      </c>
      <c r="AJ125" s="9">
        <v>0.307</v>
      </c>
      <c r="AK125" s="6">
        <v>0.73599999999999999</v>
      </c>
      <c r="AM125" s="6">
        <v>0.379</v>
      </c>
      <c r="AN125" s="6">
        <v>2.335</v>
      </c>
    </row>
    <row r="126" spans="35:40">
      <c r="AI126" s="2">
        <f t="shared" si="22"/>
        <v>0.81200000000000061</v>
      </c>
      <c r="AJ126" s="10">
        <v>0.30099999999999999</v>
      </c>
      <c r="AK126" s="8">
        <v>1.248</v>
      </c>
      <c r="AM126" s="8">
        <v>0.33800000000000002</v>
      </c>
      <c r="AN126" s="8">
        <v>4.5839999999999996</v>
      </c>
    </row>
    <row r="127" spans="35:40">
      <c r="AI127" s="2">
        <f t="shared" si="22"/>
        <v>0.82500000000000062</v>
      </c>
      <c r="AJ127" s="9">
        <v>8.5000000000000006E-2</v>
      </c>
      <c r="AK127" s="6">
        <v>0.53600000000000003</v>
      </c>
      <c r="AM127" s="6">
        <v>9.1999999999999998E-2</v>
      </c>
      <c r="AN127" s="6">
        <v>1.488</v>
      </c>
    </row>
    <row r="128" spans="35:40">
      <c r="AI128" s="2">
        <f t="shared" si="22"/>
        <v>0.83800000000000063</v>
      </c>
      <c r="AJ128" s="10">
        <v>0.193</v>
      </c>
      <c r="AK128" s="8">
        <v>1.548</v>
      </c>
      <c r="AM128" s="8">
        <v>0.247</v>
      </c>
      <c r="AN128" s="8">
        <v>1.629</v>
      </c>
    </row>
    <row r="129" spans="35:40">
      <c r="AI129" s="2">
        <f t="shared" si="22"/>
        <v>0.85100000000000064</v>
      </c>
      <c r="AJ129" s="9">
        <v>0.13300000000000001</v>
      </c>
      <c r="AK129" s="6">
        <v>0.432</v>
      </c>
      <c r="AM129" s="6">
        <v>0.16900000000000001</v>
      </c>
      <c r="AN129" s="6">
        <v>1.625</v>
      </c>
    </row>
    <row r="130" spans="35:40">
      <c r="AI130" s="2">
        <f t="shared" si="22"/>
        <v>0.86400000000000066</v>
      </c>
      <c r="AJ130" s="10">
        <v>0.16900000000000001</v>
      </c>
      <c r="AK130" s="8">
        <v>0.56699999999999995</v>
      </c>
      <c r="AM130" s="8">
        <v>0.28599999999999998</v>
      </c>
      <c r="AN130" s="8">
        <v>1.7410000000000001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605C-DC0A-47B9-99D2-F6C5E98310FE}">
  <dimension ref="A1:S78"/>
  <sheetViews>
    <sheetView zoomScale="10" zoomScaleNormal="10" workbookViewId="0">
      <selection activeCell="I63" sqref="I63"/>
    </sheetView>
  </sheetViews>
  <sheetFormatPr defaultRowHeight="15"/>
  <cols>
    <col min="1" max="1" width="20.5703125" bestFit="1" customWidth="1"/>
    <col min="2" max="2" width="10.140625" bestFit="1" customWidth="1"/>
    <col min="3" max="5" width="9.5703125" bestFit="1" customWidth="1"/>
    <col min="6" max="6" width="13.5703125" bestFit="1" customWidth="1"/>
    <col min="11" max="11" width="20.5703125" bestFit="1" customWidth="1"/>
  </cols>
  <sheetData>
    <row r="1" spans="1:19">
      <c r="A1" t="s">
        <v>138</v>
      </c>
      <c r="B1" s="4" t="s">
        <v>24</v>
      </c>
      <c r="C1" s="4" t="s">
        <v>22</v>
      </c>
      <c r="D1" s="4" t="s">
        <v>25</v>
      </c>
      <c r="E1" s="4" t="s">
        <v>23</v>
      </c>
      <c r="G1" s="4" t="s">
        <v>146</v>
      </c>
      <c r="H1" s="4" t="s">
        <v>22</v>
      </c>
      <c r="I1" s="4" t="s">
        <v>23</v>
      </c>
      <c r="K1" s="4" t="s">
        <v>78</v>
      </c>
    </row>
    <row r="2" spans="1:19">
      <c r="A2" t="s">
        <v>120</v>
      </c>
      <c r="B2" s="14">
        <f>AVERAGEIFS(Attempts[keystroke_pass],Attempts[is_impostor],0)</f>
        <v>0.9</v>
      </c>
      <c r="C2" s="14">
        <f>AVERAGEIFS(Attempts[keystroke_pass],Attempts[is_impostor],1)</f>
        <v>8.3333333333333329E-2</v>
      </c>
      <c r="D2" s="14">
        <f>1-AVERAGEIFS(Attempts[keystroke_pass],Attempts[is_impostor],1)</f>
        <v>0.91666666666666663</v>
      </c>
      <c r="E2" s="14">
        <f>1-AVERAGEIFS(Attempts[keystroke_pass],Attempts[is_impostor],0)</f>
        <v>9.9999999999999978E-2</v>
      </c>
      <c r="G2" t="s">
        <v>120</v>
      </c>
      <c r="H2" s="14">
        <f>C2</f>
        <v>8.3333333333333329E-2</v>
      </c>
      <c r="I2" s="14">
        <f>E2</f>
        <v>9.9999999999999978E-2</v>
      </c>
    </row>
    <row r="3" spans="1:19">
      <c r="A3" t="s">
        <v>121</v>
      </c>
      <c r="B3" s="14">
        <f>AVERAGEIFS(Attempts[graphical_pass],Attempts[is_impostor],0)</f>
        <v>1</v>
      </c>
      <c r="C3" s="14">
        <f>AVERAGEIFS(Attempts[graphical_pass],Attempts[is_impostor],1)</f>
        <v>0.23333333333333334</v>
      </c>
      <c r="D3" s="14">
        <f>1-AVERAGEIFS(Attempts[graphical_pass],Attempts[is_impostor],1)</f>
        <v>0.76666666666666661</v>
      </c>
      <c r="E3" s="14">
        <f>1-AVERAGEIFS(Attempts[graphical_pass],Attempts[is_impostor],0)</f>
        <v>0</v>
      </c>
      <c r="G3" t="s">
        <v>121</v>
      </c>
      <c r="H3" s="14">
        <f>C3</f>
        <v>0.23333333333333334</v>
      </c>
      <c r="I3" s="14">
        <f>E3</f>
        <v>0</v>
      </c>
      <c r="K3" s="4" t="s">
        <v>70</v>
      </c>
      <c r="L3" s="4" t="s">
        <v>79</v>
      </c>
      <c r="M3" s="4" t="s">
        <v>80</v>
      </c>
      <c r="P3" s="4" t="s">
        <v>24</v>
      </c>
      <c r="Q3" s="4" t="s">
        <v>22</v>
      </c>
      <c r="R3" s="4" t="s">
        <v>25</v>
      </c>
      <c r="S3" s="4" t="s">
        <v>23</v>
      </c>
    </row>
    <row r="4" spans="1:19">
      <c r="A4" t="s">
        <v>122</v>
      </c>
      <c r="B4" s="14">
        <f>AVERAGEIFS(Attempts[mouse_pass],Attempts[is_impostor],0)</f>
        <v>0.58333333333333337</v>
      </c>
      <c r="C4" s="14">
        <f>AVERAGEIFS(Attempts[mouse_pass],Attempts[is_impostor],1)</f>
        <v>0.26666666666666666</v>
      </c>
      <c r="D4" s="14">
        <f>1-AVERAGEIFS(Attempts[mouse_pass],Attempts[is_impostor],1)</f>
        <v>0.73333333333333339</v>
      </c>
      <c r="E4" s="14">
        <f>1-AVERAGEIFS(Attempts[mouse_pass],Attempts[is_impostor],0)</f>
        <v>0.41666666666666663</v>
      </c>
      <c r="G4" t="s">
        <v>122</v>
      </c>
      <c r="H4" s="14">
        <f>C4</f>
        <v>0.26666666666666666</v>
      </c>
      <c r="I4" s="14">
        <f>E4</f>
        <v>0.41666666666666663</v>
      </c>
      <c r="K4" t="s">
        <v>82</v>
      </c>
      <c r="L4" s="3">
        <f>COUNTIFS(Attempts[is_impostor],0,Attempts[keystroke_pass],1)</f>
        <v>54</v>
      </c>
      <c r="M4" s="3">
        <f>COUNTIFS(Attempts[is_impostor],1,Attempts[keystroke_pass],1)</f>
        <v>5</v>
      </c>
      <c r="O4" t="s">
        <v>120</v>
      </c>
      <c r="P4" s="14">
        <f>AVERAGEIFS(Attempts[keystroke_pass],Attempts[is_impostor],0)</f>
        <v>0.9</v>
      </c>
      <c r="Q4" s="14">
        <f>AVERAGEIFS(Attempts[keystroke_pass],Attempts[is_impostor],1)</f>
        <v>8.3333333333333329E-2</v>
      </c>
      <c r="R4" s="14">
        <f>1-AVERAGEIFS(Attempts[keystroke_pass],Attempts[is_impostor],1)</f>
        <v>0.91666666666666663</v>
      </c>
      <c r="S4" s="14">
        <f>1-AVERAGEIFS(Attempts[keystroke_pass],Attempts[is_impostor],0)</f>
        <v>9.9999999999999978E-2</v>
      </c>
    </row>
    <row r="5" spans="1:19">
      <c r="E5" s="2"/>
      <c r="G5" t="s">
        <v>93</v>
      </c>
      <c r="H5" s="14">
        <f>C12</f>
        <v>0</v>
      </c>
      <c r="I5" s="14">
        <f>E12</f>
        <v>0.46666666666666667</v>
      </c>
      <c r="K5" t="s">
        <v>83</v>
      </c>
      <c r="L5" s="3">
        <f>COUNTIFS(Attempts[is_impostor],0,Attempts[keystroke_pass],0)</f>
        <v>6</v>
      </c>
      <c r="M5" s="3">
        <f>COUNTIFS(Attempts[is_impostor],1,Attempts[keystroke_pass],0)</f>
        <v>55</v>
      </c>
      <c r="O5" s="3"/>
      <c r="P5" s="3"/>
      <c r="Q5" s="3"/>
      <c r="R5" s="3"/>
    </row>
    <row r="6" spans="1:19">
      <c r="D6" s="4"/>
      <c r="E6" s="4"/>
      <c r="G6" t="s">
        <v>94</v>
      </c>
      <c r="H6" s="14">
        <f>C13</f>
        <v>0.05</v>
      </c>
      <c r="I6" s="14">
        <f>E13</f>
        <v>9.9999999999999978E-2</v>
      </c>
      <c r="K6" t="s">
        <v>84</v>
      </c>
      <c r="L6" s="14">
        <f>AVERAGEIFS(Attempts[keystroke_pass],Attempts[is_impostor],0)</f>
        <v>0.9</v>
      </c>
      <c r="M6" s="14">
        <f>AVERAGEIFS(Attempts[keystroke_pass],Attempts[is_impostor],1)</f>
        <v>8.3333333333333329E-2</v>
      </c>
    </row>
    <row r="7" spans="1:19">
      <c r="D7" s="14"/>
      <c r="E7" s="14"/>
      <c r="K7" t="s">
        <v>86</v>
      </c>
      <c r="L7" s="3">
        <f>AVERAGEIFS(Attempts[keystroke_avg_z],Attempts[is_impostor],0)</f>
        <v>0.37011666666666659</v>
      </c>
      <c r="M7" s="3">
        <f>AVERAGEIFS(Attempts[keystroke_avg_z],Attempts[is_impostor],1)</f>
        <v>0.86359999999999992</v>
      </c>
    </row>
    <row r="8" spans="1:19">
      <c r="D8" s="14"/>
      <c r="E8" s="14"/>
      <c r="K8" t="s">
        <v>87</v>
      </c>
      <c r="L8" s="3">
        <f>AVERAGEIFS(Attempts[keystroke_max_z],Attempts[is_impostor],0)</f>
        <v>0.93608333333333305</v>
      </c>
      <c r="M8" s="3">
        <f>AVERAGEIFS(Attempts[keystroke_max_z],Attempts[is_impostor],1)</f>
        <v>1.6333333333333335</v>
      </c>
    </row>
    <row r="9" spans="1:19">
      <c r="A9" s="4" t="s">
        <v>89</v>
      </c>
      <c r="D9" s="14"/>
      <c r="E9" s="14"/>
      <c r="K9" t="s">
        <v>88</v>
      </c>
      <c r="L9" s="3">
        <f>AVERAGEIFS(Attempts[keystroke_similarity],Attempts[is_impostor],0)</f>
        <v>0.8158333333333333</v>
      </c>
      <c r="M9" s="3">
        <f>AVERAGEIFS(Attempts[keystroke_similarity],Attempts[is_impostor],1)</f>
        <v>0.5794666666666668</v>
      </c>
    </row>
    <row r="11" spans="1:19">
      <c r="A11" s="4" t="s">
        <v>90</v>
      </c>
      <c r="B11" s="4" t="s">
        <v>24</v>
      </c>
      <c r="C11" s="4" t="s">
        <v>22</v>
      </c>
      <c r="D11" s="4" t="s">
        <v>25</v>
      </c>
      <c r="E11" s="4" t="s">
        <v>23</v>
      </c>
    </row>
    <row r="12" spans="1:19">
      <c r="A12" t="s">
        <v>93</v>
      </c>
      <c r="B12" s="14">
        <f>AVERAGEIFS(Attempts[strict_3_gate_pass],Attempts[is_impostor],0)</f>
        <v>0.53333333333333333</v>
      </c>
      <c r="C12" s="14">
        <f>AVERAGEIFS(Attempts[strict_3_gate_pass],Attempts[is_impostor],1)</f>
        <v>0</v>
      </c>
      <c r="D12" s="14">
        <f>1-AVERAGEIFS(Attempts[strict_3_gate_pass],Attempts[is_impostor],1)</f>
        <v>1</v>
      </c>
      <c r="E12" s="14">
        <f>1-AVERAGEIFS(Attempts[strict_3_gate_pass],Attempts[is_impostor],0)</f>
        <v>0.46666666666666667</v>
      </c>
      <c r="K12" s="4" t="s">
        <v>81</v>
      </c>
    </row>
    <row r="13" spans="1:19">
      <c r="A13" t="s">
        <v>94</v>
      </c>
      <c r="B13" s="14">
        <f>AVERAGEIFS(Attempts[weighted_pass],Attempts[is_impostor],0)</f>
        <v>0.9</v>
      </c>
      <c r="C13" s="14">
        <f>AVERAGEIFS(Attempts[weighted_pass],Attempts[is_impostor],1)</f>
        <v>0.05</v>
      </c>
      <c r="D13" s="14">
        <f>1-AVERAGEIFS(Attempts[weighted_pass],Attempts[is_impostor],1)</f>
        <v>0.95</v>
      </c>
      <c r="E13" s="14">
        <f>1-AVERAGEIFS(Attempts[weighted_pass],Attempts[is_impostor],0)</f>
        <v>9.9999999999999978E-2</v>
      </c>
    </row>
    <row r="14" spans="1:19">
      <c r="K14" s="4" t="s">
        <v>70</v>
      </c>
      <c r="L14" s="4" t="s">
        <v>79</v>
      </c>
      <c r="M14" s="4" t="s">
        <v>80</v>
      </c>
      <c r="O14" s="4"/>
      <c r="P14" s="4" t="s">
        <v>24</v>
      </c>
      <c r="Q14" s="4" t="s">
        <v>22</v>
      </c>
      <c r="R14" s="4" t="s">
        <v>25</v>
      </c>
      <c r="S14" s="4" t="s">
        <v>23</v>
      </c>
    </row>
    <row r="15" spans="1:19">
      <c r="B15" s="14"/>
      <c r="C15" s="14"/>
      <c r="D15" s="14"/>
      <c r="E15" s="14"/>
      <c r="K15" t="s">
        <v>82</v>
      </c>
      <c r="L15" s="3">
        <f>COUNTIFS(Attempts[is_impostor],0,Attempts[graphical_pass],1)</f>
        <v>60</v>
      </c>
      <c r="M15" s="3">
        <f>COUNTIFS(Attempts[is_impostor],1,Attempts[graphical_pass],1)</f>
        <v>14</v>
      </c>
      <c r="O15" t="s">
        <v>121</v>
      </c>
      <c r="P15" s="14">
        <f>AVERAGEIFS(Attempts[graphical_pass],Attempts[is_impostor],0)</f>
        <v>1</v>
      </c>
      <c r="Q15" s="14">
        <f>AVERAGEIFS(Attempts[graphical_pass],Attempts[is_impostor],1)</f>
        <v>0.23333333333333334</v>
      </c>
      <c r="R15" s="14">
        <f>1-AVERAGEIFS(Attempts[graphical_pass],Attempts[is_impostor],1)</f>
        <v>0.76666666666666661</v>
      </c>
      <c r="S15" s="14">
        <f>1-AVERAGEIFS(Attempts[graphical_pass],Attempts[is_impostor],0)</f>
        <v>0</v>
      </c>
    </row>
    <row r="16" spans="1:19">
      <c r="B16" s="14"/>
      <c r="C16" s="14"/>
      <c r="D16" s="14"/>
      <c r="E16" s="14"/>
      <c r="K16" t="s">
        <v>83</v>
      </c>
      <c r="L16" s="3">
        <f>COUNTIFS(Attempts[is_impostor],0,Attempts[graphical_pass],0)</f>
        <v>0</v>
      </c>
      <c r="M16" s="3">
        <f>COUNTIFS(Attempts[is_impostor],1,Attempts[graphical_pass],0)</f>
        <v>46</v>
      </c>
      <c r="O16" s="3"/>
      <c r="P16" s="3"/>
      <c r="Q16" s="3"/>
      <c r="R16" s="3"/>
    </row>
    <row r="17" spans="1:19">
      <c r="B17" s="14"/>
      <c r="C17" s="14"/>
      <c r="D17" s="14"/>
      <c r="E17" s="14"/>
      <c r="K17" t="s">
        <v>84</v>
      </c>
      <c r="L17" s="14">
        <f>AVERAGEIFS(Attempts[graphical_pass],Attempts[is_impostor],0)</f>
        <v>1</v>
      </c>
      <c r="M17" s="14">
        <f>AVERAGEIFS(Attempts[graphical_pass],Attempts[is_impostor],1)</f>
        <v>0.23333333333333334</v>
      </c>
    </row>
    <row r="19" spans="1:19">
      <c r="A19" s="4" t="s">
        <v>139</v>
      </c>
      <c r="B19" s="4" t="s">
        <v>120</v>
      </c>
      <c r="C19" s="4" t="s">
        <v>122</v>
      </c>
      <c r="D19" s="4" t="s">
        <v>140</v>
      </c>
      <c r="E19" s="4"/>
    </row>
    <row r="20" spans="1:19">
      <c r="A20" t="s">
        <v>141</v>
      </c>
      <c r="B20" s="14">
        <v>1</v>
      </c>
      <c r="C20" s="14">
        <v>0.65</v>
      </c>
      <c r="D20" s="14">
        <v>1</v>
      </c>
      <c r="K20" s="4" t="s">
        <v>85</v>
      </c>
    </row>
    <row r="21" spans="1:19">
      <c r="A21" t="s">
        <v>142</v>
      </c>
      <c r="B21" s="14">
        <v>0.7</v>
      </c>
      <c r="C21" s="14">
        <v>0.3</v>
      </c>
      <c r="D21" s="14">
        <v>0.7</v>
      </c>
    </row>
    <row r="22" spans="1:19">
      <c r="A22" t="s">
        <v>143</v>
      </c>
      <c r="B22" s="14">
        <v>0.9</v>
      </c>
      <c r="C22" s="14">
        <v>0.3</v>
      </c>
      <c r="D22" s="14">
        <v>0.9</v>
      </c>
      <c r="K22" s="4" t="s">
        <v>70</v>
      </c>
      <c r="L22" s="4" t="s">
        <v>79</v>
      </c>
      <c r="M22" s="4" t="s">
        <v>80</v>
      </c>
      <c r="O22" s="4"/>
      <c r="P22" s="4" t="s">
        <v>24</v>
      </c>
      <c r="Q22" s="4" t="s">
        <v>22</v>
      </c>
      <c r="R22" s="4" t="s">
        <v>25</v>
      </c>
      <c r="S22" s="4" t="s">
        <v>23</v>
      </c>
    </row>
    <row r="23" spans="1:19">
      <c r="A23" t="s">
        <v>144</v>
      </c>
      <c r="B23" s="14">
        <v>0.8</v>
      </c>
      <c r="C23" s="14">
        <v>0.7</v>
      </c>
      <c r="D23" s="14">
        <v>0.8</v>
      </c>
      <c r="K23" t="s">
        <v>82</v>
      </c>
      <c r="L23" s="3">
        <f>COUNTIFS(Attempts[is_impostor],0,Attempts[mouse_pass],1)</f>
        <v>35</v>
      </c>
      <c r="M23" s="3">
        <f>COUNTIFS(Attempts[is_impostor],1,Attempts[mouse_pass],1)</f>
        <v>16</v>
      </c>
      <c r="O23" t="s">
        <v>122</v>
      </c>
      <c r="P23" s="14">
        <f>AVERAGEIFS(Attempts[mouse_pass],Attempts[is_impostor],0)</f>
        <v>0.58333333333333337</v>
      </c>
      <c r="Q23" s="14">
        <f>AVERAGEIFS(Attempts[mouse_pass],Attempts[is_impostor],1)</f>
        <v>0.26666666666666666</v>
      </c>
      <c r="R23" s="14">
        <f>1-AVERAGEIFS(Attempts[mouse_pass],Attempts[is_impostor],1)</f>
        <v>0.73333333333333339</v>
      </c>
      <c r="S23" s="14">
        <f>1-AVERAGEIFS(Attempts[mouse_pass],Attempts[is_impostor],0)</f>
        <v>0.41666666666666663</v>
      </c>
    </row>
    <row r="24" spans="1:19">
      <c r="A24" t="s">
        <v>145</v>
      </c>
      <c r="B24" s="14">
        <v>1</v>
      </c>
      <c r="C24" s="14">
        <v>0.9</v>
      </c>
      <c r="D24" s="14">
        <v>1</v>
      </c>
      <c r="K24" t="s">
        <v>83</v>
      </c>
      <c r="L24" s="3">
        <f>COUNTIFS(Attempts[is_impostor],0,Attempts[mouse_pass],0)</f>
        <v>25</v>
      </c>
      <c r="M24" s="3">
        <f>COUNTIFS(Attempts[is_impostor],1,Attempts[mouse_pass],0)</f>
        <v>44</v>
      </c>
      <c r="O24" s="3"/>
      <c r="P24" s="3"/>
      <c r="Q24" s="3"/>
      <c r="R24" s="3"/>
    </row>
    <row r="25" spans="1:19">
      <c r="A25" t="s">
        <v>151</v>
      </c>
      <c r="B25" s="14">
        <v>1</v>
      </c>
      <c r="C25" s="14">
        <v>1</v>
      </c>
      <c r="D25" s="14">
        <v>0.36363636363636365</v>
      </c>
      <c r="K25" t="s">
        <v>84</v>
      </c>
      <c r="L25" s="14">
        <f>AVERAGEIFS(Attempts[mouse_pass],Attempts[is_impostor],0)</f>
        <v>0.58333333333333337</v>
      </c>
      <c r="M25" s="14">
        <f>AVERAGEIFS(Attempts[mouse_pass],Attempts[is_impostor],1)</f>
        <v>0.26666666666666666</v>
      </c>
    </row>
    <row r="26" spans="1:19">
      <c r="K26" t="s">
        <v>86</v>
      </c>
      <c r="L26" s="3">
        <f>AVERAGEIFS(Attempts[mouse_avg_z],Attempts[is_impostor],0)</f>
        <v>1.0615499999999998</v>
      </c>
      <c r="M26" s="3">
        <f>AVERAGEIFS(Attempts[mouse_avg_z],Attempts[is_impostor],1)</f>
        <v>2.1249833333333328</v>
      </c>
    </row>
    <row r="27" spans="1:19">
      <c r="K27" t="s">
        <v>87</v>
      </c>
      <c r="L27" s="3">
        <f>AVERAGEIFS(Attempts[mouse_max_z],Attempts[is_impostor],0)</f>
        <v>1.925033333333334</v>
      </c>
      <c r="M27" s="3">
        <f>AVERAGEIFS(Attempts[mouse_max_z],Attempts[is_impostor],1)</f>
        <v>3.6478833333333336</v>
      </c>
    </row>
    <row r="28" spans="1:19">
      <c r="K28" t="s">
        <v>88</v>
      </c>
      <c r="L28" s="3">
        <f>AVERAGEIFS(Attempts[mouse_similarity],Attempts[is_impostor],0)</f>
        <v>0.52050000000000007</v>
      </c>
      <c r="M28" s="3">
        <f>AVERAGEIFS(Attempts[mouse_similarity],Attempts[is_impostor],1)</f>
        <v>0.38176666666666664</v>
      </c>
    </row>
    <row r="31" spans="1:19">
      <c r="K31" s="4" t="s">
        <v>89</v>
      </c>
    </row>
    <row r="33" spans="11:19">
      <c r="K33" s="4" t="s">
        <v>90</v>
      </c>
      <c r="L33" s="4" t="s">
        <v>91</v>
      </c>
      <c r="M33" s="4" t="s">
        <v>80</v>
      </c>
      <c r="O33" s="4"/>
      <c r="P33" s="4" t="s">
        <v>24</v>
      </c>
      <c r="Q33" s="4" t="s">
        <v>22</v>
      </c>
      <c r="R33" s="4" t="s">
        <v>25</v>
      </c>
      <c r="S33" s="4" t="s">
        <v>23</v>
      </c>
    </row>
    <row r="34" spans="11:19">
      <c r="K34" t="s">
        <v>93</v>
      </c>
      <c r="L34" s="14">
        <f>AVERAGEIFS(Attempts[strict_3_gate_pass],Attempts[is_impostor],0)</f>
        <v>0.53333333333333333</v>
      </c>
      <c r="M34" s="14">
        <f>AVERAGEIFS(Attempts[strict_3_gate_pass],Attempts[is_impostor],1)</f>
        <v>0</v>
      </c>
      <c r="O34" s="3"/>
      <c r="P34" s="3"/>
      <c r="Q34" s="3"/>
      <c r="R34" s="3"/>
    </row>
    <row r="35" spans="11:19">
      <c r="K35" t="s">
        <v>94</v>
      </c>
      <c r="L35" s="14">
        <f>AVERAGEIFS(Attempts[weighted_pass],Attempts[is_impostor],0)</f>
        <v>0.9</v>
      </c>
      <c r="M35" s="14">
        <f>AVERAGEIFS(Attempts[weighted_pass],Attempts[is_impostor],1)</f>
        <v>0.05</v>
      </c>
      <c r="O35" s="3"/>
      <c r="P35" s="3"/>
      <c r="Q35" s="3"/>
      <c r="R35" s="3"/>
    </row>
    <row r="46" spans="11:19">
      <c r="M46" s="4"/>
    </row>
    <row r="47" spans="11:19">
      <c r="M47" s="14"/>
    </row>
    <row r="48" spans="11:19">
      <c r="M48" s="14"/>
    </row>
    <row r="49" spans="13:13">
      <c r="M49" s="14"/>
    </row>
    <row r="78" spans="1:4">
      <c r="A78" t="s">
        <v>150</v>
      </c>
      <c r="B78" s="14">
        <f>AVERAGEIFS(Attempts[keystroke_pass],Attempts[username],A78,Attempts[is_impostor],0)</f>
        <v>1</v>
      </c>
      <c r="C78" s="14">
        <f>AVERAGEIFS(Attempts[graphical_pass],Attempts[username],A78,Attempts[is_impostor],0)</f>
        <v>1</v>
      </c>
      <c r="D78" s="14">
        <f>AVERAGEIFS(Attempts[mouse_pass],Attempts[username],A78,Attempts[is_impostor],0)</f>
        <v>0.36363636363636365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B8AE-BB40-4E6B-89E1-03DC3CCF04D4}">
  <dimension ref="A1:C15"/>
  <sheetViews>
    <sheetView zoomScale="115" zoomScaleNormal="115" workbookViewId="0">
      <selection activeCell="B11" sqref="B11"/>
    </sheetView>
  </sheetViews>
  <sheetFormatPr defaultRowHeight="15"/>
  <cols>
    <col min="1" max="1" width="52.85546875" bestFit="1" customWidth="1"/>
    <col min="2" max="2" width="42.85546875" bestFit="1" customWidth="1"/>
    <col min="4" max="4" width="4.5703125" bestFit="1" customWidth="1"/>
    <col min="5" max="5" width="32.7109375" bestFit="1" customWidth="1"/>
    <col min="6" max="6" width="30.7109375" bestFit="1" customWidth="1"/>
  </cols>
  <sheetData>
    <row r="1" spans="1:3">
      <c r="A1" s="21" t="s">
        <v>70</v>
      </c>
      <c r="B1" s="24" t="s">
        <v>163</v>
      </c>
      <c r="C1" s="21" t="s">
        <v>164</v>
      </c>
    </row>
    <row r="2" spans="1:3" ht="30">
      <c r="A2" s="22" t="s">
        <v>165</v>
      </c>
      <c r="B2" s="25">
        <v>0.96699999999999997</v>
      </c>
      <c r="C2" s="22" t="s">
        <v>154</v>
      </c>
    </row>
    <row r="3" spans="1:3" ht="30">
      <c r="A3" s="22" t="s">
        <v>166</v>
      </c>
      <c r="B3" s="23" t="s">
        <v>167</v>
      </c>
      <c r="C3" s="22" t="s">
        <v>154</v>
      </c>
    </row>
    <row r="4" spans="1:3" ht="30">
      <c r="A4" s="22" t="s">
        <v>168</v>
      </c>
      <c r="B4" s="23" t="s">
        <v>169</v>
      </c>
      <c r="C4" s="22" t="s">
        <v>154</v>
      </c>
    </row>
    <row r="5" spans="1:3" ht="30">
      <c r="A5" s="22" t="s">
        <v>170</v>
      </c>
      <c r="B5" s="26">
        <v>0.51</v>
      </c>
      <c r="C5" s="22" t="s">
        <v>155</v>
      </c>
    </row>
    <row r="6" spans="1:3">
      <c r="A6" s="22"/>
      <c r="B6" s="26"/>
      <c r="C6" s="22"/>
    </row>
    <row r="7" spans="1:3">
      <c r="A7" s="4" t="s">
        <v>70</v>
      </c>
      <c r="B7" s="4" t="s">
        <v>71</v>
      </c>
    </row>
    <row r="8" spans="1:3">
      <c r="A8" t="s">
        <v>171</v>
      </c>
      <c r="B8" s="27">
        <f>AVERAGEIFS(Attempts[weighted_pass],Attempts[is_impostor],0)</f>
        <v>0.9</v>
      </c>
    </row>
    <row r="9" spans="1:3">
      <c r="A9" t="s">
        <v>172</v>
      </c>
      <c r="B9" s="3">
        <f>AVERAGEIFS(Attempts[login_time_seconds],Attempts[is_impostor],0)</f>
        <v>24.19703333333333</v>
      </c>
    </row>
    <row r="10" spans="1:3">
      <c r="A10" t="s">
        <v>156</v>
      </c>
      <c r="B10" s="3">
        <f>AVERAGEIFS(Attempts[keystroke_time],Attempts[is_impostor],0)</f>
        <v>10.853333333333335</v>
      </c>
    </row>
    <row r="11" spans="1:3">
      <c r="A11" t="s">
        <v>157</v>
      </c>
      <c r="B11" s="3">
        <f>AVERAGEIFS(Attempts[graphical_time],Attempts[is_impostor],0)</f>
        <v>8.3774833333333323</v>
      </c>
    </row>
    <row r="12" spans="1:3">
      <c r="A12" t="s">
        <v>158</v>
      </c>
      <c r="B12" s="3">
        <f>AVERAGEIFS(Attempts[mouse_time],Attempts[is_impostor],0)</f>
        <v>4.9662166666666661</v>
      </c>
    </row>
    <row r="13" spans="1:3">
      <c r="A13" t="s">
        <v>173</v>
      </c>
      <c r="B13" s="27">
        <f>COUNTIFS(Attempts[is_impostor],0,Attempts[final_result],"logged in",Attempts[tries_to_success],"&gt;1")/COUNTIFS(Attempts[is_impostor],0,Attempts[final_result],"logged in")</f>
        <v>7.407407407407407E-2</v>
      </c>
    </row>
    <row r="14" spans="1:3">
      <c r="A14" t="s">
        <v>174</v>
      </c>
      <c r="B14" s="2">
        <f>AVERAGEIFS(Attempts[tries_to_success],Attempts[is_impostor],0,Attempts[final_result],"logged in")</f>
        <v>1.0925925925925926</v>
      </c>
    </row>
    <row r="15" spans="1:3">
      <c r="A15" t="s">
        <v>175</v>
      </c>
      <c r="B15" s="27">
        <f>COUNTIFS(Attempts[is_impostor],0,Attempts[final_result],"logged in",Attempts[tries_to_success],1)/COUNTIFS(Attempts[is_impostor],0,Attempts[final_result],"logged in")</f>
        <v>0.92592592592592593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CA58-A5A8-41BD-BF96-49A1DFF9646A}">
  <dimension ref="A1:U10"/>
  <sheetViews>
    <sheetView workbookViewId="0">
      <selection activeCell="J18" sqref="J18:K18"/>
    </sheetView>
  </sheetViews>
  <sheetFormatPr defaultRowHeight="15"/>
  <cols>
    <col min="1" max="1" width="12.85546875" customWidth="1"/>
    <col min="18" max="18" width="15.140625" customWidth="1"/>
    <col min="19" max="19" width="10.140625" customWidth="1"/>
    <col min="20" max="20" width="12.42578125" customWidth="1"/>
    <col min="21" max="21" width="13.42578125" customWidth="1"/>
  </cols>
  <sheetData>
    <row r="1" spans="1:2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</row>
    <row r="2" spans="1:21">
      <c r="A2" t="s">
        <v>104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2</v>
      </c>
      <c r="I2">
        <v>2</v>
      </c>
      <c r="J2">
        <v>2</v>
      </c>
      <c r="K2">
        <v>1</v>
      </c>
      <c r="L2">
        <v>1</v>
      </c>
      <c r="M2">
        <v>1</v>
      </c>
      <c r="N2">
        <v>2</v>
      </c>
      <c r="O2">
        <v>2</v>
      </c>
      <c r="P2">
        <v>1</v>
      </c>
      <c r="Q2">
        <v>1</v>
      </c>
      <c r="R2" s="3">
        <f>AVERAGE(B2:Q2)</f>
        <v>1.3125</v>
      </c>
      <c r="S2" s="3">
        <f>AVERAGE(B2:G2)</f>
        <v>1</v>
      </c>
      <c r="T2" s="3">
        <f>AVERAGE(H2:M2)</f>
        <v>1.5</v>
      </c>
      <c r="U2" s="3">
        <f>AVERAGE(N2:Q2)</f>
        <v>1.5</v>
      </c>
    </row>
    <row r="3" spans="1:21">
      <c r="A3" t="s">
        <v>105</v>
      </c>
      <c r="B3">
        <v>1</v>
      </c>
      <c r="C3">
        <v>2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2</v>
      </c>
      <c r="K3">
        <v>1</v>
      </c>
      <c r="L3">
        <v>1</v>
      </c>
      <c r="M3">
        <v>2</v>
      </c>
      <c r="N3">
        <v>2</v>
      </c>
      <c r="O3">
        <v>2</v>
      </c>
      <c r="P3">
        <v>1</v>
      </c>
      <c r="Q3">
        <v>1</v>
      </c>
      <c r="R3" s="3">
        <f t="shared" ref="R3:R9" si="0">AVERAGE(B3:Q3)</f>
        <v>1.5</v>
      </c>
      <c r="S3" s="3">
        <f t="shared" ref="S3:S9" si="1">AVERAGE(B3:G3)</f>
        <v>1.3333333333333333</v>
      </c>
      <c r="T3" s="3">
        <f t="shared" ref="T3:T9" si="2">AVERAGE(H3:M3)</f>
        <v>1.6666666666666667</v>
      </c>
      <c r="U3" s="3">
        <f t="shared" ref="U3:U9" si="3">AVERAGE(N3:Q3)</f>
        <v>1.5</v>
      </c>
    </row>
    <row r="4" spans="1:21">
      <c r="A4" t="s">
        <v>106</v>
      </c>
      <c r="B4">
        <v>2</v>
      </c>
      <c r="C4">
        <v>3</v>
      </c>
      <c r="D4">
        <v>2</v>
      </c>
      <c r="E4">
        <v>4</v>
      </c>
      <c r="F4">
        <v>3</v>
      </c>
      <c r="G4">
        <v>4</v>
      </c>
      <c r="H4">
        <v>2</v>
      </c>
      <c r="I4">
        <v>3</v>
      </c>
      <c r="J4">
        <v>3</v>
      </c>
      <c r="K4">
        <v>3</v>
      </c>
      <c r="L4">
        <v>2</v>
      </c>
      <c r="M4">
        <v>3</v>
      </c>
      <c r="N4">
        <v>4</v>
      </c>
      <c r="O4">
        <v>2</v>
      </c>
      <c r="P4">
        <v>2</v>
      </c>
      <c r="Q4">
        <v>3</v>
      </c>
      <c r="R4" s="3">
        <f t="shared" si="0"/>
        <v>2.8125</v>
      </c>
      <c r="S4" s="3">
        <f t="shared" si="1"/>
        <v>3</v>
      </c>
      <c r="T4" s="3">
        <f t="shared" si="2"/>
        <v>2.6666666666666665</v>
      </c>
      <c r="U4" s="3">
        <f t="shared" si="3"/>
        <v>2.75</v>
      </c>
    </row>
    <row r="5" spans="1:21">
      <c r="A5" t="s">
        <v>107</v>
      </c>
      <c r="B5">
        <v>2</v>
      </c>
      <c r="C5">
        <v>3</v>
      </c>
      <c r="D5">
        <v>3</v>
      </c>
      <c r="E5">
        <v>3</v>
      </c>
      <c r="F5">
        <v>3</v>
      </c>
      <c r="G5">
        <v>5</v>
      </c>
      <c r="H5">
        <v>3</v>
      </c>
      <c r="I5">
        <v>2</v>
      </c>
      <c r="J5">
        <v>2</v>
      </c>
      <c r="K5">
        <v>2</v>
      </c>
      <c r="L5">
        <v>2</v>
      </c>
      <c r="M5">
        <v>3</v>
      </c>
      <c r="N5">
        <v>2</v>
      </c>
      <c r="O5">
        <v>2</v>
      </c>
      <c r="P5">
        <v>2</v>
      </c>
      <c r="Q5">
        <v>2</v>
      </c>
      <c r="R5" s="3">
        <f t="shared" si="0"/>
        <v>2.5625</v>
      </c>
      <c r="S5" s="3">
        <f t="shared" si="1"/>
        <v>3.1666666666666665</v>
      </c>
      <c r="T5" s="3">
        <f t="shared" si="2"/>
        <v>2.3333333333333335</v>
      </c>
      <c r="U5" s="3">
        <f t="shared" si="3"/>
        <v>2</v>
      </c>
    </row>
    <row r="6" spans="1:21">
      <c r="A6" t="s">
        <v>38</v>
      </c>
      <c r="B6">
        <v>2</v>
      </c>
      <c r="C6">
        <v>3</v>
      </c>
      <c r="D6">
        <v>2</v>
      </c>
      <c r="E6">
        <v>3</v>
      </c>
      <c r="F6">
        <v>2</v>
      </c>
      <c r="G6">
        <v>5</v>
      </c>
      <c r="H6">
        <v>3</v>
      </c>
      <c r="I6">
        <v>2</v>
      </c>
      <c r="J6">
        <v>1</v>
      </c>
      <c r="K6">
        <v>3</v>
      </c>
      <c r="L6">
        <v>2</v>
      </c>
      <c r="M6">
        <v>3</v>
      </c>
      <c r="N6">
        <v>2</v>
      </c>
      <c r="O6">
        <v>1</v>
      </c>
      <c r="P6">
        <v>2</v>
      </c>
      <c r="Q6">
        <v>1</v>
      </c>
      <c r="R6" s="3">
        <f t="shared" si="0"/>
        <v>2.3125</v>
      </c>
      <c r="S6" s="3">
        <f t="shared" si="1"/>
        <v>2.8333333333333335</v>
      </c>
      <c r="T6" s="3">
        <f t="shared" si="2"/>
        <v>2.3333333333333335</v>
      </c>
      <c r="U6" s="3">
        <f t="shared" si="3"/>
        <v>1.5</v>
      </c>
    </row>
    <row r="7" spans="1:21">
      <c r="A7" t="s">
        <v>32</v>
      </c>
      <c r="B7">
        <v>2</v>
      </c>
      <c r="C7">
        <v>2</v>
      </c>
      <c r="D7">
        <v>2</v>
      </c>
      <c r="E7">
        <v>1</v>
      </c>
      <c r="F7">
        <v>1</v>
      </c>
      <c r="G7">
        <v>3</v>
      </c>
      <c r="H7">
        <v>2</v>
      </c>
      <c r="I7">
        <v>2</v>
      </c>
      <c r="J7">
        <v>1</v>
      </c>
      <c r="K7">
        <v>3</v>
      </c>
      <c r="L7">
        <v>3</v>
      </c>
      <c r="M7">
        <v>2</v>
      </c>
      <c r="N7">
        <v>2</v>
      </c>
      <c r="O7">
        <v>1</v>
      </c>
      <c r="P7">
        <v>2</v>
      </c>
      <c r="Q7">
        <v>1</v>
      </c>
      <c r="R7" s="3">
        <f t="shared" si="0"/>
        <v>1.875</v>
      </c>
      <c r="S7" s="3">
        <f t="shared" si="1"/>
        <v>1.8333333333333333</v>
      </c>
      <c r="T7" s="3">
        <f t="shared" si="2"/>
        <v>2.1666666666666665</v>
      </c>
      <c r="U7" s="3">
        <f t="shared" si="3"/>
        <v>1.5</v>
      </c>
    </row>
    <row r="8" spans="1:21">
      <c r="A8" t="s">
        <v>26</v>
      </c>
      <c r="B8">
        <v>3</v>
      </c>
      <c r="C8">
        <v>3</v>
      </c>
      <c r="D8">
        <v>2</v>
      </c>
      <c r="E8">
        <v>2</v>
      </c>
      <c r="F8">
        <v>2</v>
      </c>
      <c r="G8">
        <v>4</v>
      </c>
      <c r="H8">
        <v>3</v>
      </c>
      <c r="I8">
        <v>3</v>
      </c>
      <c r="J8">
        <v>3</v>
      </c>
      <c r="K8">
        <v>3</v>
      </c>
      <c r="L8">
        <v>2</v>
      </c>
      <c r="M8">
        <v>3</v>
      </c>
      <c r="O8">
        <v>2</v>
      </c>
      <c r="P8">
        <v>2</v>
      </c>
      <c r="Q8">
        <v>3</v>
      </c>
      <c r="R8" s="3">
        <f t="shared" si="0"/>
        <v>2.6666666666666665</v>
      </c>
      <c r="S8" s="3">
        <f t="shared" si="1"/>
        <v>2.6666666666666665</v>
      </c>
      <c r="T8" s="3">
        <f t="shared" si="2"/>
        <v>2.8333333333333335</v>
      </c>
      <c r="U8" s="3">
        <f t="shared" si="3"/>
        <v>2.3333333333333335</v>
      </c>
    </row>
    <row r="9" spans="1:21">
      <c r="A9" t="s">
        <v>35</v>
      </c>
      <c r="B9">
        <v>5</v>
      </c>
      <c r="C9">
        <v>4</v>
      </c>
      <c r="D9">
        <v>4</v>
      </c>
      <c r="E9">
        <v>3</v>
      </c>
      <c r="F9">
        <v>2</v>
      </c>
      <c r="G9">
        <v>5</v>
      </c>
      <c r="H9">
        <v>2</v>
      </c>
      <c r="I9">
        <v>3</v>
      </c>
      <c r="J9">
        <v>3</v>
      </c>
      <c r="K9">
        <v>3</v>
      </c>
      <c r="L9">
        <v>4</v>
      </c>
      <c r="M9">
        <v>3</v>
      </c>
      <c r="N9">
        <v>3</v>
      </c>
      <c r="O9">
        <v>1</v>
      </c>
      <c r="P9">
        <v>2</v>
      </c>
      <c r="Q9">
        <v>3</v>
      </c>
      <c r="R9" s="3">
        <f t="shared" si="0"/>
        <v>3.125</v>
      </c>
      <c r="S9" s="3">
        <f t="shared" si="1"/>
        <v>3.8333333333333335</v>
      </c>
      <c r="T9" s="3">
        <f t="shared" si="2"/>
        <v>3</v>
      </c>
      <c r="U9" s="3">
        <f t="shared" si="3"/>
        <v>2.25</v>
      </c>
    </row>
    <row r="10" spans="1:21">
      <c r="A10" t="s">
        <v>150</v>
      </c>
      <c r="B10">
        <v>2</v>
      </c>
      <c r="C10">
        <v>3</v>
      </c>
      <c r="D10">
        <v>2</v>
      </c>
      <c r="E10">
        <v>4</v>
      </c>
      <c r="F10">
        <v>5</v>
      </c>
      <c r="G10">
        <v>3</v>
      </c>
      <c r="H10">
        <v>2</v>
      </c>
      <c r="I10">
        <v>2</v>
      </c>
      <c r="J10">
        <v>2</v>
      </c>
      <c r="K10">
        <v>3</v>
      </c>
      <c r="L10">
        <v>3</v>
      </c>
      <c r="M10">
        <v>2</v>
      </c>
      <c r="N10">
        <v>4</v>
      </c>
      <c r="O10">
        <v>2</v>
      </c>
      <c r="P10">
        <v>3</v>
      </c>
      <c r="Q10">
        <v>3</v>
      </c>
      <c r="R10" s="3">
        <f>AVERAGE(B10:Q10)</f>
        <v>2.8125</v>
      </c>
      <c r="S10" s="3">
        <f>AVERAGE(B10:G10)</f>
        <v>3.1666666666666665</v>
      </c>
      <c r="T10" s="3">
        <f>AVERAGE(H10:M10)</f>
        <v>2.3333333333333335</v>
      </c>
      <c r="U10" s="3">
        <f>AVERAGE(N10:Q10)</f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4C07-C170-4375-8055-5EF7C796F30D}">
  <dimension ref="A1:AH28"/>
  <sheetViews>
    <sheetView zoomScaleNormal="100" workbookViewId="0">
      <selection activeCell="P33" sqref="P33"/>
    </sheetView>
  </sheetViews>
  <sheetFormatPr defaultRowHeight="15"/>
  <cols>
    <col min="1" max="1" width="4.85546875" customWidth="1"/>
    <col min="2" max="2" width="12.140625" customWidth="1"/>
    <col min="3" max="3" width="13.7109375" customWidth="1"/>
    <col min="4" max="4" width="18.140625" customWidth="1"/>
    <col min="5" max="5" width="17.42578125" customWidth="1"/>
    <col min="6" max="6" width="15.42578125" customWidth="1"/>
    <col min="7" max="7" width="13.28515625" customWidth="1"/>
    <col min="8" max="8" width="21" customWidth="1"/>
    <col min="9" max="9" width="17" customWidth="1"/>
    <col min="10" max="10" width="16.28515625" customWidth="1"/>
    <col min="11" max="11" width="14.28515625" customWidth="1"/>
    <col min="12" max="12" width="23.42578125" customWidth="1"/>
    <col min="13" max="13" width="14.85546875" customWidth="1"/>
    <col min="14" max="14" width="16.140625" customWidth="1"/>
    <col min="15" max="15" width="26.85546875" customWidth="1"/>
    <col min="16" max="16" width="26.5703125" customWidth="1"/>
    <col min="17" max="17" width="17.5703125" customWidth="1"/>
    <col min="18" max="18" width="18.28515625" customWidth="1"/>
    <col min="19" max="19" width="21.28515625" customWidth="1"/>
    <col min="20" max="20" width="14.85546875" customWidth="1"/>
    <col min="21" max="21" width="15.5703125" customWidth="1"/>
    <col min="22" max="22" width="18.5703125" customWidth="1"/>
    <col min="23" max="23" width="6.5703125" customWidth="1"/>
    <col min="24" max="24" width="6.7109375" customWidth="1"/>
    <col min="25" max="25" width="6.5703125" customWidth="1"/>
    <col min="26" max="26" width="6.7109375" customWidth="1"/>
    <col min="27" max="27" width="17" customWidth="1"/>
    <col min="28" max="28" width="16.28515625" customWidth="1"/>
    <col min="29" max="29" width="14.28515625" customWidth="1"/>
    <col min="30" max="30" width="12.140625" customWidth="1"/>
    <col min="31" max="31" width="14.5703125" customWidth="1"/>
    <col min="32" max="32" width="15.42578125" customWidth="1"/>
    <col min="33" max="33" width="18.28515625" customWidth="1"/>
    <col min="34" max="34" width="16.425781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</row>
    <row r="2" spans="1:34">
      <c r="A2">
        <v>19</v>
      </c>
      <c r="B2" t="s">
        <v>110</v>
      </c>
      <c r="C2">
        <v>1</v>
      </c>
      <c r="D2" t="s">
        <v>27</v>
      </c>
      <c r="E2" t="s">
        <v>27</v>
      </c>
      <c r="F2" t="s">
        <v>27</v>
      </c>
      <c r="G2" t="s">
        <v>27</v>
      </c>
      <c r="H2">
        <v>24.273</v>
      </c>
      <c r="I2">
        <v>7.92</v>
      </c>
      <c r="J2">
        <f>H2-(I2+K2)</f>
        <v>12.105</v>
      </c>
      <c r="K2">
        <v>4.2480000000000002</v>
      </c>
      <c r="L2">
        <v>1</v>
      </c>
      <c r="M2">
        <v>0</v>
      </c>
      <c r="N2">
        <v>1</v>
      </c>
      <c r="O2" t="s">
        <v>40</v>
      </c>
      <c r="P2" t="s">
        <v>30</v>
      </c>
      <c r="Q2">
        <v>0.16</v>
      </c>
      <c r="R2">
        <v>0.251</v>
      </c>
      <c r="S2">
        <v>0.86199999999999999</v>
      </c>
      <c r="T2">
        <v>0.46300000000000002</v>
      </c>
      <c r="U2">
        <v>0.88300000000000001</v>
      </c>
      <c r="V2">
        <v>0.68400000000000005</v>
      </c>
    </row>
    <row r="3" spans="1:34">
      <c r="A3">
        <v>18</v>
      </c>
      <c r="B3" t="s">
        <v>110</v>
      </c>
      <c r="C3">
        <v>1</v>
      </c>
      <c r="D3" t="s">
        <v>27</v>
      </c>
      <c r="E3" t="s">
        <v>27</v>
      </c>
      <c r="F3" t="s">
        <v>27</v>
      </c>
      <c r="G3" t="s">
        <v>27</v>
      </c>
      <c r="H3">
        <v>21.853000000000002</v>
      </c>
      <c r="I3">
        <v>11.615</v>
      </c>
      <c r="J3">
        <f t="shared" ref="J3:J20" si="0">H3-(I3+K3)</f>
        <v>6.5960000000000019</v>
      </c>
      <c r="K3">
        <v>3.6419999999999999</v>
      </c>
      <c r="L3">
        <v>2</v>
      </c>
      <c r="M3">
        <v>0</v>
      </c>
      <c r="N3">
        <v>1</v>
      </c>
      <c r="O3" t="s">
        <v>40</v>
      </c>
      <c r="P3" t="s">
        <v>30</v>
      </c>
      <c r="Q3">
        <v>0.152</v>
      </c>
      <c r="R3">
        <v>0.182</v>
      </c>
      <c r="S3">
        <v>0.86799999999999999</v>
      </c>
      <c r="T3">
        <v>1.073</v>
      </c>
      <c r="U3">
        <v>1.3879999999999999</v>
      </c>
      <c r="V3">
        <v>0.48199999999999998</v>
      </c>
    </row>
    <row r="4" spans="1:34">
      <c r="A4">
        <v>17</v>
      </c>
      <c r="B4" t="s">
        <v>110</v>
      </c>
      <c r="C4">
        <v>1</v>
      </c>
      <c r="D4" t="s">
        <v>28</v>
      </c>
      <c r="E4" t="s">
        <v>27</v>
      </c>
      <c r="F4" t="s">
        <v>27</v>
      </c>
      <c r="G4" t="s">
        <v>28</v>
      </c>
      <c r="H4">
        <v>33.125</v>
      </c>
      <c r="I4">
        <v>7.8367000000000004</v>
      </c>
      <c r="J4">
        <f t="shared" si="0"/>
        <v>20.981299999999997</v>
      </c>
      <c r="K4">
        <v>4.3070000000000004</v>
      </c>
      <c r="L4">
        <v>1</v>
      </c>
      <c r="M4">
        <v>0</v>
      </c>
      <c r="N4">
        <v>1</v>
      </c>
      <c r="O4" t="s">
        <v>40</v>
      </c>
      <c r="P4" t="s">
        <v>30</v>
      </c>
      <c r="Q4">
        <v>0.96499999999999997</v>
      </c>
      <c r="R4">
        <v>1.46</v>
      </c>
      <c r="S4">
        <v>0.50900000000000001</v>
      </c>
      <c r="T4">
        <v>0.754</v>
      </c>
      <c r="U4">
        <v>1.2769999999999999</v>
      </c>
      <c r="V4">
        <v>0.56999999999999995</v>
      </c>
    </row>
    <row r="5" spans="1:34">
      <c r="A5">
        <v>16</v>
      </c>
      <c r="B5" t="s">
        <v>110</v>
      </c>
      <c r="C5">
        <v>1</v>
      </c>
      <c r="D5" t="s">
        <v>27</v>
      </c>
      <c r="E5" t="s">
        <v>27</v>
      </c>
      <c r="F5" t="s">
        <v>28</v>
      </c>
      <c r="G5" t="s">
        <v>27</v>
      </c>
      <c r="H5">
        <v>26.091000000000001</v>
      </c>
      <c r="I5">
        <v>7.367</v>
      </c>
      <c r="J5">
        <f t="shared" si="0"/>
        <v>6.1240000000000023</v>
      </c>
      <c r="K5">
        <v>12.6</v>
      </c>
      <c r="L5">
        <v>2</v>
      </c>
      <c r="M5">
        <v>0</v>
      </c>
      <c r="N5">
        <v>1</v>
      </c>
      <c r="O5" t="s">
        <v>40</v>
      </c>
      <c r="P5" t="s">
        <v>30</v>
      </c>
      <c r="Q5">
        <v>0.372</v>
      </c>
      <c r="R5">
        <v>0.48299999999999998</v>
      </c>
      <c r="S5">
        <v>0.72899999999999998</v>
      </c>
      <c r="T5">
        <v>0.99299999999999999</v>
      </c>
      <c r="U5">
        <v>2.1230000000000002</v>
      </c>
      <c r="V5">
        <v>0.502</v>
      </c>
    </row>
    <row r="6" spans="1:34">
      <c r="A6">
        <v>15</v>
      </c>
      <c r="B6" t="s">
        <v>110</v>
      </c>
      <c r="C6">
        <v>1</v>
      </c>
      <c r="D6" t="s">
        <v>28</v>
      </c>
      <c r="E6" t="s">
        <v>27</v>
      </c>
      <c r="F6" t="s">
        <v>28</v>
      </c>
      <c r="G6" t="s">
        <v>28</v>
      </c>
      <c r="H6">
        <v>26.091000000000001</v>
      </c>
      <c r="I6">
        <v>9.2780000000000005</v>
      </c>
      <c r="J6">
        <f t="shared" si="0"/>
        <v>4.213000000000001</v>
      </c>
      <c r="K6">
        <v>12.6</v>
      </c>
      <c r="L6">
        <v>1</v>
      </c>
      <c r="M6">
        <v>0</v>
      </c>
      <c r="N6">
        <v>1</v>
      </c>
      <c r="O6" t="s">
        <v>40</v>
      </c>
      <c r="P6" t="s">
        <v>30</v>
      </c>
      <c r="Q6">
        <v>0.372</v>
      </c>
      <c r="R6">
        <v>0.48299999999999998</v>
      </c>
      <c r="S6">
        <v>0.72899999999999998</v>
      </c>
      <c r="T6">
        <v>0.99299999999999999</v>
      </c>
      <c r="U6">
        <v>2.1230000000000002</v>
      </c>
      <c r="V6">
        <v>0.502</v>
      </c>
    </row>
    <row r="7" spans="1:34">
      <c r="A7">
        <v>14</v>
      </c>
      <c r="B7" t="s">
        <v>110</v>
      </c>
      <c r="C7">
        <v>1</v>
      </c>
      <c r="D7" t="s">
        <v>27</v>
      </c>
      <c r="E7" t="s">
        <v>27</v>
      </c>
      <c r="F7" t="s">
        <v>27</v>
      </c>
      <c r="G7" t="s">
        <v>27</v>
      </c>
      <c r="H7">
        <v>23.257999999999999</v>
      </c>
      <c r="I7">
        <v>7.69</v>
      </c>
      <c r="J7">
        <f t="shared" si="0"/>
        <v>11.151999999999997</v>
      </c>
      <c r="K7">
        <v>4.4160000000000004</v>
      </c>
      <c r="L7">
        <v>1</v>
      </c>
      <c r="M7">
        <v>0</v>
      </c>
      <c r="N7">
        <v>1</v>
      </c>
      <c r="O7" t="s">
        <v>40</v>
      </c>
      <c r="P7" t="s">
        <v>30</v>
      </c>
      <c r="Q7">
        <v>0.252</v>
      </c>
      <c r="R7">
        <v>0.28799999999999998</v>
      </c>
      <c r="S7">
        <v>0.79900000000000004</v>
      </c>
      <c r="T7">
        <v>0.56100000000000005</v>
      </c>
      <c r="U7">
        <v>0.91800000000000004</v>
      </c>
      <c r="V7">
        <v>0.64100000000000001</v>
      </c>
    </row>
    <row r="8" spans="1:34">
      <c r="A8">
        <v>13</v>
      </c>
      <c r="B8" t="s">
        <v>110</v>
      </c>
      <c r="C8">
        <v>1</v>
      </c>
      <c r="D8" t="s">
        <v>27</v>
      </c>
      <c r="E8" t="s">
        <v>27</v>
      </c>
      <c r="F8" t="s">
        <v>27</v>
      </c>
      <c r="G8" t="s">
        <v>27</v>
      </c>
      <c r="H8">
        <v>27</v>
      </c>
      <c r="I8">
        <v>9.1180000000000003</v>
      </c>
      <c r="J8">
        <f t="shared" si="0"/>
        <v>13.073</v>
      </c>
      <c r="K8">
        <v>4.8090000000000002</v>
      </c>
      <c r="L8">
        <v>3</v>
      </c>
      <c r="M8">
        <v>0</v>
      </c>
      <c r="N8">
        <v>1</v>
      </c>
      <c r="O8" t="s">
        <v>40</v>
      </c>
      <c r="P8" t="s">
        <v>30</v>
      </c>
      <c r="Q8">
        <v>0.29399999999999998</v>
      </c>
      <c r="R8">
        <v>0.41199999999999998</v>
      </c>
      <c r="S8">
        <v>0.77300000000000002</v>
      </c>
      <c r="T8">
        <v>0.88900000000000001</v>
      </c>
      <c r="U8">
        <v>1.4019999999999999</v>
      </c>
      <c r="V8">
        <v>0.52900000000000003</v>
      </c>
    </row>
    <row r="9" spans="1:34">
      <c r="A9">
        <v>12</v>
      </c>
      <c r="B9" t="s">
        <v>110</v>
      </c>
      <c r="C9">
        <v>1</v>
      </c>
      <c r="D9" t="s">
        <v>28</v>
      </c>
      <c r="E9" t="s">
        <v>27</v>
      </c>
      <c r="F9" t="s">
        <v>27</v>
      </c>
      <c r="G9" t="s">
        <v>28</v>
      </c>
      <c r="H9">
        <v>16.149000000000001</v>
      </c>
      <c r="I9">
        <v>6.4610000000000003</v>
      </c>
      <c r="J9">
        <f t="shared" si="0"/>
        <v>6.0950000000000006</v>
      </c>
      <c r="K9">
        <v>3.593</v>
      </c>
      <c r="L9">
        <v>2</v>
      </c>
      <c r="M9">
        <v>0</v>
      </c>
      <c r="N9">
        <v>1</v>
      </c>
      <c r="O9" t="s">
        <v>40</v>
      </c>
      <c r="P9" t="s">
        <v>30</v>
      </c>
      <c r="Q9">
        <v>0.60699999999999998</v>
      </c>
      <c r="R9">
        <v>0.68400000000000005</v>
      </c>
      <c r="S9">
        <v>0.622</v>
      </c>
      <c r="T9">
        <v>1.282</v>
      </c>
      <c r="U9">
        <v>1.5580000000000001</v>
      </c>
      <c r="V9">
        <v>0.438</v>
      </c>
    </row>
    <row r="10" spans="1:34">
      <c r="A10">
        <v>11</v>
      </c>
      <c r="B10" t="s">
        <v>110</v>
      </c>
      <c r="C10">
        <v>1</v>
      </c>
      <c r="D10" t="s">
        <v>28</v>
      </c>
      <c r="E10" t="s">
        <v>27</v>
      </c>
      <c r="F10" t="s">
        <v>28</v>
      </c>
      <c r="G10" t="s">
        <v>28</v>
      </c>
      <c r="H10">
        <v>15.385999999999999</v>
      </c>
      <c r="I10">
        <v>6.6669999999999998</v>
      </c>
      <c r="J10">
        <f t="shared" si="0"/>
        <v>6.4019999999999992</v>
      </c>
      <c r="K10">
        <v>2.3170000000000002</v>
      </c>
      <c r="L10">
        <v>1</v>
      </c>
      <c r="M10">
        <v>0</v>
      </c>
      <c r="N10">
        <v>1</v>
      </c>
      <c r="O10" t="s">
        <v>40</v>
      </c>
      <c r="P10" t="s">
        <v>30</v>
      </c>
      <c r="Q10">
        <v>0.47699999999999998</v>
      </c>
      <c r="R10">
        <v>0.58699999999999997</v>
      </c>
      <c r="S10">
        <v>0.67700000000000005</v>
      </c>
      <c r="T10">
        <v>2.081</v>
      </c>
      <c r="U10">
        <v>2.536</v>
      </c>
      <c r="V10">
        <v>0.32500000000000001</v>
      </c>
    </row>
    <row r="11" spans="1:34">
      <c r="A11">
        <v>10</v>
      </c>
      <c r="B11" t="s">
        <v>110</v>
      </c>
      <c r="C11">
        <v>0</v>
      </c>
      <c r="D11" t="s">
        <v>27</v>
      </c>
      <c r="E11" t="s">
        <v>27</v>
      </c>
      <c r="F11" t="s">
        <v>27</v>
      </c>
      <c r="G11" t="s">
        <v>27</v>
      </c>
      <c r="H11">
        <v>22.855</v>
      </c>
      <c r="I11">
        <v>8.5289999999999999</v>
      </c>
      <c r="J11">
        <f t="shared" si="0"/>
        <v>11.441000000000001</v>
      </c>
      <c r="K11">
        <v>2.8849999999999998</v>
      </c>
      <c r="L11">
        <v>3</v>
      </c>
      <c r="M11">
        <v>0</v>
      </c>
      <c r="N11">
        <v>1</v>
      </c>
      <c r="O11" t="s">
        <v>40</v>
      </c>
      <c r="P11" t="s">
        <v>30</v>
      </c>
      <c r="Q11">
        <v>0.35499999999999998</v>
      </c>
      <c r="R11">
        <v>0.41599999999999998</v>
      </c>
      <c r="S11">
        <v>0.73799999999999999</v>
      </c>
      <c r="T11">
        <v>1.5760000000000001</v>
      </c>
      <c r="U11">
        <v>1.8740000000000001</v>
      </c>
      <c r="V11">
        <v>0.38800000000000001</v>
      </c>
    </row>
    <row r="12" spans="1:34">
      <c r="A12">
        <v>9</v>
      </c>
      <c r="B12" t="s">
        <v>110</v>
      </c>
      <c r="C12">
        <v>0</v>
      </c>
      <c r="D12" t="s">
        <v>28</v>
      </c>
      <c r="E12" t="s">
        <v>27</v>
      </c>
      <c r="F12" t="s">
        <v>27</v>
      </c>
      <c r="G12" t="s">
        <v>28</v>
      </c>
      <c r="H12">
        <v>23.523</v>
      </c>
      <c r="I12">
        <v>7.4429999999999996</v>
      </c>
      <c r="J12">
        <f t="shared" si="0"/>
        <v>12.346</v>
      </c>
      <c r="K12">
        <v>3.734</v>
      </c>
      <c r="L12">
        <v>2</v>
      </c>
      <c r="M12">
        <v>0</v>
      </c>
      <c r="N12">
        <v>1</v>
      </c>
      <c r="O12" t="s">
        <v>40</v>
      </c>
      <c r="P12" t="s">
        <v>30</v>
      </c>
      <c r="Q12">
        <v>0.498</v>
      </c>
      <c r="R12">
        <v>0.60399999999999998</v>
      </c>
      <c r="S12">
        <v>0.66700000000000004</v>
      </c>
      <c r="T12">
        <v>1.1859999999999999</v>
      </c>
      <c r="U12">
        <v>1.7250000000000001</v>
      </c>
      <c r="V12">
        <v>0.45700000000000002</v>
      </c>
    </row>
    <row r="13" spans="1:34">
      <c r="A13">
        <v>8</v>
      </c>
      <c r="B13" t="s">
        <v>110</v>
      </c>
      <c r="C13">
        <v>0</v>
      </c>
      <c r="D13" t="s">
        <v>28</v>
      </c>
      <c r="E13" t="s">
        <v>27</v>
      </c>
      <c r="F13" t="s">
        <v>27</v>
      </c>
      <c r="G13" t="s">
        <v>28</v>
      </c>
      <c r="H13">
        <v>23.72</v>
      </c>
      <c r="I13">
        <v>8.8559999999999999</v>
      </c>
      <c r="J13">
        <f t="shared" si="0"/>
        <v>8.8219999999999992</v>
      </c>
      <c r="K13">
        <v>6.0419999999999998</v>
      </c>
      <c r="L13">
        <v>1</v>
      </c>
      <c r="M13">
        <v>0</v>
      </c>
      <c r="N13">
        <v>1</v>
      </c>
      <c r="O13" t="s">
        <v>40</v>
      </c>
      <c r="P13" t="s">
        <v>30</v>
      </c>
      <c r="Q13">
        <v>0.60699999999999998</v>
      </c>
      <c r="R13">
        <v>1.161</v>
      </c>
      <c r="S13">
        <v>0.622</v>
      </c>
      <c r="T13">
        <v>1.552</v>
      </c>
      <c r="U13">
        <v>2.0419999999999998</v>
      </c>
      <c r="V13">
        <v>0.39200000000000002</v>
      </c>
    </row>
    <row r="14" spans="1:34">
      <c r="A14">
        <v>7</v>
      </c>
      <c r="B14" t="s">
        <v>110</v>
      </c>
      <c r="C14">
        <v>0</v>
      </c>
      <c r="D14" t="s">
        <v>27</v>
      </c>
      <c r="E14" t="s">
        <v>27</v>
      </c>
      <c r="F14" t="s">
        <v>27</v>
      </c>
      <c r="G14" t="s">
        <v>27</v>
      </c>
      <c r="H14">
        <v>24.138000000000002</v>
      </c>
      <c r="I14">
        <v>0</v>
      </c>
      <c r="J14">
        <f t="shared" si="0"/>
        <v>19.045000000000002</v>
      </c>
      <c r="K14">
        <v>5.093</v>
      </c>
      <c r="L14">
        <v>1</v>
      </c>
      <c r="M14">
        <v>0</v>
      </c>
      <c r="N14">
        <v>1</v>
      </c>
      <c r="O14" t="s">
        <v>40</v>
      </c>
      <c r="P14" t="s">
        <v>30</v>
      </c>
      <c r="Q14">
        <v>0.33300000000000002</v>
      </c>
      <c r="R14">
        <v>0.432</v>
      </c>
      <c r="S14">
        <v>0.75</v>
      </c>
      <c r="T14">
        <v>1.3120000000000001</v>
      </c>
      <c r="U14">
        <v>2.4550000000000001</v>
      </c>
      <c r="V14">
        <v>0.433</v>
      </c>
    </row>
    <row r="15" spans="1:34">
      <c r="A15">
        <v>6</v>
      </c>
      <c r="B15" t="s">
        <v>110</v>
      </c>
      <c r="C15">
        <v>0</v>
      </c>
      <c r="D15" t="s">
        <v>27</v>
      </c>
      <c r="E15" t="s">
        <v>27</v>
      </c>
      <c r="F15" t="s">
        <v>27</v>
      </c>
      <c r="G15" t="s">
        <v>27</v>
      </c>
      <c r="H15">
        <v>26.35</v>
      </c>
      <c r="I15">
        <v>0</v>
      </c>
      <c r="J15">
        <f t="shared" si="0"/>
        <v>16.325000000000003</v>
      </c>
      <c r="K15">
        <v>10.025</v>
      </c>
      <c r="L15">
        <v>1</v>
      </c>
      <c r="M15">
        <v>0</v>
      </c>
      <c r="N15">
        <v>1</v>
      </c>
      <c r="O15" t="s">
        <v>40</v>
      </c>
      <c r="P15" t="s">
        <v>30</v>
      </c>
      <c r="Q15">
        <v>0.373</v>
      </c>
      <c r="R15">
        <v>0.44</v>
      </c>
      <c r="S15">
        <v>0.72799999999999998</v>
      </c>
      <c r="T15">
        <v>1.1499999999999999</v>
      </c>
      <c r="U15">
        <v>1.7190000000000001</v>
      </c>
      <c r="V15">
        <v>0.46500000000000002</v>
      </c>
    </row>
    <row r="16" spans="1:34">
      <c r="A16">
        <v>5</v>
      </c>
      <c r="B16" t="s">
        <v>110</v>
      </c>
      <c r="C16">
        <v>0</v>
      </c>
      <c r="D16" t="s">
        <v>27</v>
      </c>
      <c r="E16" t="s">
        <v>27</v>
      </c>
      <c r="F16" t="s">
        <v>27</v>
      </c>
      <c r="G16" t="s">
        <v>27</v>
      </c>
      <c r="H16">
        <v>26.041</v>
      </c>
      <c r="I16">
        <v>0</v>
      </c>
      <c r="J16">
        <f t="shared" si="0"/>
        <v>20.303000000000001</v>
      </c>
      <c r="K16">
        <v>5.7380000000000004</v>
      </c>
      <c r="L16">
        <v>1</v>
      </c>
      <c r="M16">
        <v>0</v>
      </c>
      <c r="N16">
        <v>1</v>
      </c>
      <c r="O16" t="s">
        <v>40</v>
      </c>
      <c r="P16" t="s">
        <v>30</v>
      </c>
      <c r="Q16">
        <v>0.22500000000000001</v>
      </c>
      <c r="R16">
        <v>0.38300000000000001</v>
      </c>
      <c r="S16">
        <v>0.81699999999999995</v>
      </c>
      <c r="T16">
        <v>0.82899999999999996</v>
      </c>
      <c r="U16">
        <v>1.6919999999999999</v>
      </c>
      <c r="V16">
        <v>0.54700000000000004</v>
      </c>
    </row>
    <row r="17" spans="1:22">
      <c r="A17">
        <v>4</v>
      </c>
      <c r="B17" t="s">
        <v>110</v>
      </c>
      <c r="C17">
        <v>0</v>
      </c>
      <c r="D17" t="s">
        <v>27</v>
      </c>
      <c r="E17" t="s">
        <v>27</v>
      </c>
      <c r="F17" t="s">
        <v>27</v>
      </c>
      <c r="G17" t="s">
        <v>27</v>
      </c>
      <c r="H17">
        <v>26.321000000000002</v>
      </c>
      <c r="I17">
        <v>11.731</v>
      </c>
      <c r="J17">
        <f t="shared" si="0"/>
        <v>10.001000000000001</v>
      </c>
      <c r="K17">
        <v>4.5890000000000004</v>
      </c>
      <c r="L17">
        <v>1</v>
      </c>
      <c r="M17">
        <v>0</v>
      </c>
      <c r="N17">
        <v>1</v>
      </c>
      <c r="O17" t="s">
        <v>40</v>
      </c>
      <c r="P17" t="s">
        <v>30</v>
      </c>
      <c r="Q17">
        <v>0.251</v>
      </c>
      <c r="R17">
        <v>0.316</v>
      </c>
      <c r="S17">
        <v>0.8</v>
      </c>
      <c r="T17">
        <v>0.84599999999999997</v>
      </c>
      <c r="U17">
        <v>1.6759999999999999</v>
      </c>
      <c r="V17">
        <v>0.54200000000000004</v>
      </c>
    </row>
    <row r="18" spans="1:22">
      <c r="A18">
        <v>3</v>
      </c>
      <c r="B18" t="s">
        <v>110</v>
      </c>
      <c r="C18">
        <v>0</v>
      </c>
      <c r="D18" t="s">
        <v>27</v>
      </c>
      <c r="E18" t="s">
        <v>27</v>
      </c>
      <c r="F18" t="s">
        <v>27</v>
      </c>
      <c r="G18" t="s">
        <v>27</v>
      </c>
      <c r="H18">
        <v>33.334000000000003</v>
      </c>
      <c r="I18">
        <v>11.122999999999999</v>
      </c>
      <c r="J18">
        <f t="shared" si="0"/>
        <v>16.525000000000006</v>
      </c>
      <c r="K18">
        <v>5.6859999999999999</v>
      </c>
      <c r="L18">
        <v>1</v>
      </c>
      <c r="M18">
        <v>0</v>
      </c>
      <c r="N18">
        <v>1</v>
      </c>
      <c r="O18" t="s">
        <v>40</v>
      </c>
      <c r="P18" t="s">
        <v>30</v>
      </c>
      <c r="Q18">
        <v>0.189</v>
      </c>
      <c r="R18">
        <v>0.27100000000000002</v>
      </c>
      <c r="S18">
        <v>0.84099999999999997</v>
      </c>
      <c r="T18">
        <v>0.94</v>
      </c>
      <c r="U18">
        <v>1.8540000000000001</v>
      </c>
      <c r="V18">
        <v>0.51500000000000001</v>
      </c>
    </row>
    <row r="19" spans="1:22">
      <c r="A19">
        <v>2</v>
      </c>
      <c r="B19" t="s">
        <v>110</v>
      </c>
      <c r="C19">
        <v>0</v>
      </c>
      <c r="D19" t="s">
        <v>27</v>
      </c>
      <c r="E19" t="s">
        <v>27</v>
      </c>
      <c r="F19" t="s">
        <v>27</v>
      </c>
      <c r="G19" t="s">
        <v>27</v>
      </c>
      <c r="H19">
        <v>40.404000000000003</v>
      </c>
      <c r="I19">
        <v>11.223000000000001</v>
      </c>
      <c r="J19">
        <f t="shared" si="0"/>
        <v>24.012000000000004</v>
      </c>
      <c r="K19">
        <v>5.1689999999999996</v>
      </c>
      <c r="L19">
        <v>1</v>
      </c>
      <c r="M19">
        <v>0</v>
      </c>
      <c r="N19">
        <v>1</v>
      </c>
      <c r="O19" t="s">
        <v>40</v>
      </c>
      <c r="P19" t="s">
        <v>30</v>
      </c>
      <c r="Q19">
        <v>8.4000000000000005E-2</v>
      </c>
      <c r="R19">
        <v>9.7000000000000003E-2</v>
      </c>
      <c r="S19">
        <v>0.92300000000000004</v>
      </c>
      <c r="T19">
        <v>0.76900000000000002</v>
      </c>
      <c r="U19">
        <v>1.9</v>
      </c>
      <c r="V19">
        <v>0.56499999999999995</v>
      </c>
    </row>
    <row r="20" spans="1:22">
      <c r="A20">
        <v>1</v>
      </c>
      <c r="B20" t="s">
        <v>110</v>
      </c>
      <c r="C20">
        <v>0</v>
      </c>
      <c r="D20" t="s">
        <v>27</v>
      </c>
      <c r="E20" t="s">
        <v>27</v>
      </c>
      <c r="F20" t="s">
        <v>27</v>
      </c>
      <c r="G20" t="s">
        <v>27</v>
      </c>
      <c r="H20">
        <v>40.533999999999999</v>
      </c>
      <c r="I20">
        <v>7.1230000000000002</v>
      </c>
      <c r="J20">
        <f t="shared" si="0"/>
        <v>30.957999999999998</v>
      </c>
      <c r="K20">
        <v>2.4529999999999998</v>
      </c>
      <c r="L20">
        <v>1</v>
      </c>
      <c r="M20">
        <v>0</v>
      </c>
      <c r="N20">
        <v>1</v>
      </c>
      <c r="O20" t="s">
        <v>40</v>
      </c>
      <c r="P20" t="s">
        <v>30</v>
      </c>
      <c r="Q20">
        <v>0.22500000000000001</v>
      </c>
      <c r="R20">
        <v>0.38300000000000001</v>
      </c>
      <c r="S20">
        <v>0.81699999999999995</v>
      </c>
      <c r="T20">
        <v>0.39300000000000002</v>
      </c>
      <c r="U20">
        <v>1.296</v>
      </c>
      <c r="V20">
        <v>0.71799999999999997</v>
      </c>
    </row>
    <row r="21" spans="1:22">
      <c r="A21">
        <v>10</v>
      </c>
      <c r="B21" t="s">
        <v>106</v>
      </c>
      <c r="C21">
        <v>1</v>
      </c>
      <c r="D21" t="s">
        <v>28</v>
      </c>
      <c r="E21" t="s">
        <v>27</v>
      </c>
      <c r="F21" t="s">
        <v>27</v>
      </c>
      <c r="G21" t="s">
        <v>28</v>
      </c>
      <c r="H21">
        <v>22.103000000000002</v>
      </c>
      <c r="I21">
        <v>11.648</v>
      </c>
      <c r="J21">
        <v>0</v>
      </c>
      <c r="K21">
        <v>2.78</v>
      </c>
      <c r="L21">
        <v>3</v>
      </c>
      <c r="M21">
        <v>0</v>
      </c>
      <c r="N21">
        <v>1</v>
      </c>
      <c r="O21" t="s">
        <v>111</v>
      </c>
      <c r="P21" t="s">
        <v>30</v>
      </c>
      <c r="Q21">
        <v>0.45300000000000001</v>
      </c>
      <c r="R21">
        <v>0.56499999999999995</v>
      </c>
      <c r="S21">
        <v>0.68799999999999994</v>
      </c>
      <c r="T21">
        <v>1.1739999999999999</v>
      </c>
      <c r="U21">
        <v>1.484</v>
      </c>
      <c r="V21">
        <v>0.46</v>
      </c>
    </row>
    <row r="22" spans="1:22">
      <c r="A22">
        <v>9</v>
      </c>
      <c r="B22" t="s">
        <v>106</v>
      </c>
      <c r="C22">
        <v>1</v>
      </c>
      <c r="D22" t="s">
        <v>28</v>
      </c>
      <c r="E22" t="s">
        <v>27</v>
      </c>
      <c r="F22" t="s">
        <v>27</v>
      </c>
      <c r="G22" t="s">
        <v>28</v>
      </c>
      <c r="H22">
        <v>33.237000000000002</v>
      </c>
      <c r="I22">
        <v>22.233000000000001</v>
      </c>
      <c r="J22">
        <v>0</v>
      </c>
      <c r="K22">
        <v>4.008</v>
      </c>
      <c r="L22">
        <v>2</v>
      </c>
      <c r="M22">
        <v>0</v>
      </c>
      <c r="N22">
        <v>1</v>
      </c>
      <c r="O22" t="s">
        <v>111</v>
      </c>
      <c r="P22" t="s">
        <v>30</v>
      </c>
      <c r="Q22">
        <v>0.5</v>
      </c>
      <c r="R22">
        <v>1.875</v>
      </c>
      <c r="S22">
        <v>0.66700000000000004</v>
      </c>
      <c r="T22">
        <v>0.72799999999999998</v>
      </c>
      <c r="U22">
        <v>1.036</v>
      </c>
      <c r="V22">
        <v>0.57899999999999996</v>
      </c>
    </row>
    <row r="23" spans="1:22">
      <c r="A23">
        <v>8</v>
      </c>
      <c r="B23" t="s">
        <v>106</v>
      </c>
      <c r="C23">
        <v>1</v>
      </c>
      <c r="D23" t="s">
        <v>28</v>
      </c>
      <c r="E23" t="s">
        <v>28</v>
      </c>
      <c r="F23" t="s">
        <v>27</v>
      </c>
      <c r="G23" t="s">
        <v>28</v>
      </c>
      <c r="H23">
        <v>32.188000000000002</v>
      </c>
      <c r="I23">
        <v>10.255000000000001</v>
      </c>
      <c r="J23">
        <v>0</v>
      </c>
      <c r="K23">
        <v>3.8210000000000002</v>
      </c>
      <c r="L23">
        <v>1</v>
      </c>
      <c r="M23">
        <v>0</v>
      </c>
      <c r="N23">
        <v>1</v>
      </c>
      <c r="Q23">
        <v>0.72199999999999998</v>
      </c>
      <c r="R23">
        <v>1.0309999999999999</v>
      </c>
      <c r="S23">
        <v>0.58099999999999996</v>
      </c>
      <c r="T23">
        <v>0.65500000000000003</v>
      </c>
      <c r="U23">
        <v>0.95399999999999996</v>
      </c>
      <c r="V23">
        <v>0.60399999999999998</v>
      </c>
    </row>
    <row r="24" spans="1:22">
      <c r="A24">
        <v>7</v>
      </c>
      <c r="B24" t="s">
        <v>106</v>
      </c>
      <c r="C24">
        <v>0</v>
      </c>
      <c r="D24" t="s">
        <v>27</v>
      </c>
      <c r="E24" t="s">
        <v>27</v>
      </c>
      <c r="F24" t="s">
        <v>27</v>
      </c>
      <c r="G24" t="s">
        <v>27</v>
      </c>
      <c r="H24">
        <v>35.618000000000002</v>
      </c>
      <c r="I24">
        <v>21.463000000000001</v>
      </c>
      <c r="J24">
        <v>0</v>
      </c>
      <c r="K24">
        <v>6.5739999999999998</v>
      </c>
      <c r="L24">
        <v>1</v>
      </c>
      <c r="M24">
        <v>0</v>
      </c>
      <c r="N24">
        <v>1</v>
      </c>
      <c r="O24" t="s">
        <v>111</v>
      </c>
      <c r="P24" t="s">
        <v>30</v>
      </c>
      <c r="Q24">
        <v>0.16900000000000001</v>
      </c>
      <c r="R24">
        <v>0.35799999999999998</v>
      </c>
      <c r="S24">
        <v>0.85499999999999998</v>
      </c>
      <c r="T24">
        <v>0.79200000000000004</v>
      </c>
      <c r="U24">
        <v>1.645</v>
      </c>
      <c r="V24">
        <v>0.55800000000000005</v>
      </c>
    </row>
    <row r="25" spans="1:22">
      <c r="A25">
        <v>6</v>
      </c>
      <c r="B25" t="s">
        <v>106</v>
      </c>
      <c r="C25">
        <v>0</v>
      </c>
      <c r="D25" t="s">
        <v>27</v>
      </c>
      <c r="E25" t="s">
        <v>27</v>
      </c>
      <c r="F25" t="s">
        <v>27</v>
      </c>
      <c r="G25" t="s">
        <v>27</v>
      </c>
      <c r="H25">
        <v>37.395000000000003</v>
      </c>
      <c r="I25">
        <v>24.48</v>
      </c>
      <c r="J25">
        <v>0</v>
      </c>
      <c r="K25">
        <v>5.3579999999999997</v>
      </c>
      <c r="L25">
        <v>1</v>
      </c>
      <c r="M25">
        <v>0</v>
      </c>
      <c r="N25">
        <v>1</v>
      </c>
      <c r="O25" t="s">
        <v>111</v>
      </c>
      <c r="P25" t="s">
        <v>30</v>
      </c>
      <c r="Q25">
        <v>5.5E-2</v>
      </c>
      <c r="R25">
        <v>9.4E-2</v>
      </c>
      <c r="S25">
        <v>0.94799999999999995</v>
      </c>
      <c r="T25">
        <v>0.83299999999999996</v>
      </c>
      <c r="U25">
        <v>1.1140000000000001</v>
      </c>
      <c r="V25">
        <v>0.54600000000000004</v>
      </c>
    </row>
    <row r="26" spans="1:22">
      <c r="A26">
        <v>5</v>
      </c>
      <c r="B26" t="s">
        <v>106</v>
      </c>
      <c r="C26">
        <v>0</v>
      </c>
      <c r="D26" t="s">
        <v>27</v>
      </c>
      <c r="E26" t="s">
        <v>27</v>
      </c>
      <c r="F26" t="s">
        <v>27</v>
      </c>
      <c r="G26" t="s">
        <v>27</v>
      </c>
      <c r="H26">
        <v>35.639000000000003</v>
      </c>
      <c r="I26">
        <v>24.033000000000001</v>
      </c>
      <c r="J26">
        <v>0</v>
      </c>
      <c r="K26">
        <v>4.8150000000000004</v>
      </c>
      <c r="L26">
        <v>1</v>
      </c>
      <c r="M26">
        <v>0</v>
      </c>
      <c r="N26">
        <v>1</v>
      </c>
      <c r="O26" t="s">
        <v>111</v>
      </c>
      <c r="P26" t="s">
        <v>30</v>
      </c>
      <c r="Q26">
        <v>4.7E-2</v>
      </c>
      <c r="R26">
        <v>5.0999999999999997E-2</v>
      </c>
      <c r="S26">
        <v>0.95499999999999996</v>
      </c>
      <c r="T26">
        <v>0.80100000000000005</v>
      </c>
      <c r="U26">
        <v>1.0569999999999999</v>
      </c>
      <c r="V26">
        <v>0.55500000000000005</v>
      </c>
    </row>
    <row r="27" spans="1:22">
      <c r="A27">
        <v>4</v>
      </c>
      <c r="B27" t="s">
        <v>106</v>
      </c>
      <c r="C27">
        <v>0</v>
      </c>
      <c r="D27" t="s">
        <v>27</v>
      </c>
      <c r="E27" t="s">
        <v>27</v>
      </c>
      <c r="F27" t="s">
        <v>27</v>
      </c>
      <c r="G27" t="s">
        <v>27</v>
      </c>
      <c r="H27">
        <v>36.942</v>
      </c>
      <c r="I27">
        <v>21.712</v>
      </c>
      <c r="J27">
        <v>0</v>
      </c>
      <c r="K27">
        <v>4.5529999999999999</v>
      </c>
      <c r="L27">
        <v>1</v>
      </c>
      <c r="M27">
        <v>0</v>
      </c>
      <c r="N27">
        <v>1</v>
      </c>
      <c r="O27" t="s">
        <v>111</v>
      </c>
      <c r="P27" t="s">
        <v>30</v>
      </c>
      <c r="Q27">
        <v>9.0999999999999998E-2</v>
      </c>
      <c r="R27">
        <v>0.111</v>
      </c>
      <c r="S27">
        <v>0.91700000000000004</v>
      </c>
      <c r="T27">
        <v>0.69899999999999995</v>
      </c>
      <c r="U27">
        <v>1.07</v>
      </c>
      <c r="V27">
        <v>0.58899999999999997</v>
      </c>
    </row>
    <row r="28" spans="1:22">
      <c r="A28">
        <v>3</v>
      </c>
      <c r="B28" t="s">
        <v>106</v>
      </c>
      <c r="C28">
        <v>0</v>
      </c>
      <c r="D28" t="s">
        <v>27</v>
      </c>
      <c r="E28" t="s">
        <v>27</v>
      </c>
      <c r="F28" t="s">
        <v>27</v>
      </c>
      <c r="G28" t="s">
        <v>27</v>
      </c>
      <c r="H28">
        <v>45.787999999999997</v>
      </c>
      <c r="I28">
        <v>25.832000000000001</v>
      </c>
      <c r="J28">
        <v>0</v>
      </c>
      <c r="K28">
        <v>4.7009999999999996</v>
      </c>
      <c r="L28">
        <v>1</v>
      </c>
      <c r="M28">
        <v>0</v>
      </c>
      <c r="N28">
        <v>1</v>
      </c>
      <c r="O28" t="s">
        <v>111</v>
      </c>
      <c r="P28" t="s">
        <v>30</v>
      </c>
      <c r="Q28">
        <v>0.17299999999999999</v>
      </c>
      <c r="R28">
        <v>0.185</v>
      </c>
      <c r="S28">
        <v>0.85299999999999998</v>
      </c>
      <c r="T28">
        <v>0.55500000000000005</v>
      </c>
      <c r="U28">
        <v>0.89800000000000002</v>
      </c>
      <c r="V28">
        <v>0.64300000000000002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8A36-939D-4822-B7F9-831983D92737}">
  <dimension ref="A1:Z29"/>
  <sheetViews>
    <sheetView tabSelected="1" workbookViewId="0">
      <selection activeCell="C39" sqref="C39:F48"/>
    </sheetView>
  </sheetViews>
  <sheetFormatPr defaultRowHeight="15"/>
  <cols>
    <col min="2" max="2" width="12.140625" customWidth="1"/>
    <col min="3" max="3" width="13.7109375" customWidth="1"/>
    <col min="4" max="4" width="18.140625" customWidth="1"/>
    <col min="5" max="5" width="17.42578125" customWidth="1"/>
    <col min="6" max="6" width="15.42578125" customWidth="1"/>
    <col min="7" max="7" width="13.28515625" customWidth="1"/>
    <col min="8" max="8" width="21" customWidth="1"/>
    <col min="9" max="9" width="17" customWidth="1"/>
    <col min="10" max="10" width="16.28515625" customWidth="1"/>
    <col min="11" max="11" width="14.28515625" customWidth="1"/>
    <col min="12" max="12" width="23.42578125" customWidth="1"/>
    <col min="13" max="13" width="14.85546875" customWidth="1"/>
    <col min="14" max="14" width="16.140625" customWidth="1"/>
    <col min="15" max="15" width="26.85546875" customWidth="1"/>
    <col min="16" max="16" width="26.5703125" customWidth="1"/>
    <col min="17" max="17" width="17.5703125" customWidth="1"/>
    <col min="18" max="18" width="18.28515625" customWidth="1"/>
    <col min="19" max="19" width="21.28515625" customWidth="1"/>
    <col min="20" max="20" width="14.85546875" customWidth="1"/>
    <col min="21" max="21" width="15.5703125" customWidth="1"/>
    <col min="22" max="22" width="18.57031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28</v>
      </c>
      <c r="B2" t="s">
        <v>112</v>
      </c>
      <c r="C2">
        <v>1</v>
      </c>
      <c r="D2" t="s">
        <v>28</v>
      </c>
      <c r="E2" t="s">
        <v>28</v>
      </c>
      <c r="F2" t="s">
        <v>28</v>
      </c>
      <c r="G2" t="s">
        <v>28</v>
      </c>
      <c r="H2">
        <v>14.016999999999999</v>
      </c>
      <c r="I2">
        <v>7.1689999999999996</v>
      </c>
      <c r="J2">
        <v>0</v>
      </c>
      <c r="K2">
        <v>3.5190000000000001</v>
      </c>
      <c r="L2">
        <v>1</v>
      </c>
      <c r="M2">
        <v>0</v>
      </c>
      <c r="N2">
        <v>1</v>
      </c>
      <c r="Q2">
        <v>0.26200000000000001</v>
      </c>
      <c r="R2">
        <v>0.91400000000000003</v>
      </c>
      <c r="S2">
        <v>0.79300000000000004</v>
      </c>
      <c r="T2">
        <v>1.2809999999999999</v>
      </c>
      <c r="U2">
        <v>2.456</v>
      </c>
      <c r="V2">
        <v>0.438</v>
      </c>
    </row>
    <row r="3" spans="1:26">
      <c r="A3">
        <v>27</v>
      </c>
      <c r="B3" t="s">
        <v>112</v>
      </c>
      <c r="C3">
        <v>1</v>
      </c>
      <c r="D3" t="s">
        <v>28</v>
      </c>
      <c r="E3" t="s">
        <v>27</v>
      </c>
      <c r="F3" t="s">
        <v>28</v>
      </c>
      <c r="G3" t="s">
        <v>28</v>
      </c>
      <c r="H3">
        <v>14.037000000000001</v>
      </c>
      <c r="I3">
        <v>7.4880000000000004</v>
      </c>
      <c r="J3">
        <v>0</v>
      </c>
      <c r="K3">
        <v>3.5470000000000002</v>
      </c>
      <c r="L3">
        <v>3</v>
      </c>
      <c r="M3">
        <v>0</v>
      </c>
      <c r="N3">
        <v>1</v>
      </c>
      <c r="O3" t="s">
        <v>40</v>
      </c>
      <c r="P3" t="s">
        <v>31</v>
      </c>
      <c r="Q3">
        <v>0.49199999999999999</v>
      </c>
      <c r="R3">
        <v>1.117</v>
      </c>
      <c r="S3">
        <v>0.67</v>
      </c>
      <c r="T3">
        <v>1.833</v>
      </c>
      <c r="U3">
        <v>3.5270000000000001</v>
      </c>
      <c r="V3">
        <v>0.35299999999999998</v>
      </c>
    </row>
    <row r="4" spans="1:26">
      <c r="A4">
        <v>26</v>
      </c>
      <c r="B4" t="s">
        <v>112</v>
      </c>
      <c r="C4">
        <v>1</v>
      </c>
      <c r="D4" t="s">
        <v>28</v>
      </c>
      <c r="E4" t="s">
        <v>28</v>
      </c>
      <c r="F4" t="s">
        <v>27</v>
      </c>
      <c r="G4" t="s">
        <v>28</v>
      </c>
      <c r="H4">
        <v>20.271000000000001</v>
      </c>
      <c r="I4">
        <v>11.032999999999999</v>
      </c>
      <c r="J4">
        <v>0</v>
      </c>
      <c r="K4">
        <v>4.0039999999999996</v>
      </c>
      <c r="L4">
        <v>2</v>
      </c>
      <c r="M4">
        <v>0</v>
      </c>
      <c r="N4">
        <v>1</v>
      </c>
      <c r="Q4">
        <v>1.4910000000000001</v>
      </c>
      <c r="R4">
        <v>2.0830000000000002</v>
      </c>
      <c r="S4">
        <v>0.40200000000000002</v>
      </c>
      <c r="T4">
        <v>0.82899999999999996</v>
      </c>
      <c r="U4">
        <v>1.2589999999999999</v>
      </c>
      <c r="V4">
        <v>0.54700000000000004</v>
      </c>
    </row>
    <row r="5" spans="1:26">
      <c r="A5">
        <v>25</v>
      </c>
      <c r="B5" t="s">
        <v>112</v>
      </c>
      <c r="C5">
        <v>1</v>
      </c>
      <c r="D5" t="s">
        <v>28</v>
      </c>
      <c r="E5" t="s">
        <v>28</v>
      </c>
      <c r="F5" t="s">
        <v>28</v>
      </c>
      <c r="G5" t="s">
        <v>28</v>
      </c>
      <c r="H5">
        <v>15.731999999999999</v>
      </c>
      <c r="I5">
        <v>8.8629999999999995</v>
      </c>
      <c r="J5">
        <v>0</v>
      </c>
      <c r="K5">
        <v>3.8149999999999999</v>
      </c>
      <c r="L5">
        <v>1</v>
      </c>
      <c r="M5">
        <v>0</v>
      </c>
      <c r="N5">
        <v>1</v>
      </c>
      <c r="Q5">
        <v>0.57499999999999996</v>
      </c>
      <c r="R5">
        <v>1.373</v>
      </c>
      <c r="S5">
        <v>0.63500000000000001</v>
      </c>
      <c r="T5">
        <v>1.4179999999999999</v>
      </c>
      <c r="U5">
        <v>1.76</v>
      </c>
      <c r="V5">
        <v>0.41399999999999998</v>
      </c>
    </row>
    <row r="6" spans="1:26">
      <c r="A6">
        <v>24</v>
      </c>
      <c r="B6" t="s">
        <v>112</v>
      </c>
      <c r="C6">
        <v>1</v>
      </c>
      <c r="D6" t="s">
        <v>28</v>
      </c>
      <c r="E6" t="s">
        <v>28</v>
      </c>
      <c r="F6" t="s">
        <v>28</v>
      </c>
      <c r="G6" t="s">
        <v>28</v>
      </c>
      <c r="H6">
        <v>16.044</v>
      </c>
      <c r="I6">
        <v>6.34</v>
      </c>
      <c r="J6">
        <v>0</v>
      </c>
      <c r="K6">
        <v>5.2140000000000004</v>
      </c>
      <c r="L6">
        <v>3</v>
      </c>
      <c r="M6">
        <v>0</v>
      </c>
      <c r="N6">
        <v>1</v>
      </c>
      <c r="Q6">
        <v>0.247</v>
      </c>
      <c r="R6">
        <v>0.77200000000000002</v>
      </c>
      <c r="S6">
        <v>0.80200000000000005</v>
      </c>
      <c r="T6">
        <v>1.01</v>
      </c>
      <c r="U6">
        <v>2.6739999999999999</v>
      </c>
      <c r="V6">
        <v>0.498</v>
      </c>
    </row>
    <row r="7" spans="1:26">
      <c r="A7">
        <v>23</v>
      </c>
      <c r="B7" t="s">
        <v>112</v>
      </c>
      <c r="C7">
        <v>1</v>
      </c>
      <c r="D7" t="s">
        <v>28</v>
      </c>
      <c r="E7" t="s">
        <v>28</v>
      </c>
      <c r="F7" t="s">
        <v>28</v>
      </c>
      <c r="G7" t="s">
        <v>28</v>
      </c>
      <c r="H7">
        <v>15.313000000000001</v>
      </c>
      <c r="I7">
        <v>7.7210000000000001</v>
      </c>
      <c r="J7">
        <v>0</v>
      </c>
      <c r="K7">
        <v>3.2469999999999999</v>
      </c>
      <c r="L7">
        <v>2</v>
      </c>
      <c r="M7">
        <v>0</v>
      </c>
      <c r="N7">
        <v>1</v>
      </c>
      <c r="Q7">
        <v>0.47199999999999998</v>
      </c>
      <c r="R7">
        <v>1.0209999999999999</v>
      </c>
      <c r="S7">
        <v>0.67900000000000005</v>
      </c>
      <c r="T7">
        <v>1.3340000000000001</v>
      </c>
      <c r="U7">
        <v>2.415</v>
      </c>
      <c r="V7">
        <v>0.42799999999999999</v>
      </c>
    </row>
    <row r="8" spans="1:26">
      <c r="A8">
        <v>22</v>
      </c>
      <c r="B8" t="s">
        <v>112</v>
      </c>
      <c r="C8">
        <v>1</v>
      </c>
      <c r="D8" t="s">
        <v>28</v>
      </c>
      <c r="E8" t="s">
        <v>28</v>
      </c>
      <c r="F8" t="s">
        <v>28</v>
      </c>
      <c r="G8" t="s">
        <v>28</v>
      </c>
      <c r="H8">
        <v>16.689</v>
      </c>
      <c r="I8">
        <v>7.258</v>
      </c>
      <c r="J8">
        <v>0</v>
      </c>
      <c r="K8">
        <v>3.3690000000000002</v>
      </c>
      <c r="L8">
        <v>1</v>
      </c>
      <c r="M8">
        <v>0</v>
      </c>
      <c r="N8">
        <v>1</v>
      </c>
      <c r="Q8">
        <v>0.68300000000000005</v>
      </c>
      <c r="R8">
        <v>1.286</v>
      </c>
      <c r="S8">
        <v>0.59399999999999997</v>
      </c>
      <c r="T8">
        <v>1.071</v>
      </c>
      <c r="U8">
        <v>2.956</v>
      </c>
      <c r="V8">
        <v>0.48299999999999998</v>
      </c>
    </row>
    <row r="10" spans="1:26">
      <c r="A10" s="15">
        <v>20</v>
      </c>
      <c r="B10" s="15" t="s">
        <v>112</v>
      </c>
      <c r="C10" s="15">
        <v>1</v>
      </c>
      <c r="D10" s="15" t="s">
        <v>28</v>
      </c>
      <c r="E10" s="15" t="s">
        <v>28</v>
      </c>
      <c r="F10" s="15" t="s">
        <v>28</v>
      </c>
      <c r="G10" s="15" t="s">
        <v>28</v>
      </c>
      <c r="H10" s="15">
        <v>13.840999999999999</v>
      </c>
      <c r="I10" s="15">
        <v>6.4950000000000001</v>
      </c>
      <c r="J10" s="15">
        <v>0</v>
      </c>
      <c r="K10" s="15">
        <v>3.3140000000000001</v>
      </c>
      <c r="L10" s="15">
        <v>3</v>
      </c>
      <c r="M10" s="15">
        <v>0</v>
      </c>
      <c r="N10" s="15">
        <v>1</v>
      </c>
      <c r="O10" s="15"/>
      <c r="P10" s="15"/>
      <c r="Q10" s="15">
        <v>0.50800000000000001</v>
      </c>
      <c r="R10" s="15">
        <v>1.4059999999999999</v>
      </c>
      <c r="S10" s="15">
        <v>0.66300000000000003</v>
      </c>
      <c r="T10" s="15">
        <v>0.92700000000000005</v>
      </c>
      <c r="U10" s="15">
        <v>1.931</v>
      </c>
      <c r="V10" s="15">
        <v>0.51900000000000002</v>
      </c>
    </row>
    <row r="11" spans="1:26">
      <c r="A11" s="15">
        <v>19</v>
      </c>
      <c r="B11" s="15" t="s">
        <v>112</v>
      </c>
      <c r="C11" s="15">
        <v>1</v>
      </c>
      <c r="D11" s="15" t="s">
        <v>28</v>
      </c>
      <c r="E11" s="15" t="s">
        <v>28</v>
      </c>
      <c r="F11" s="15" t="s">
        <v>28</v>
      </c>
      <c r="G11" s="15" t="s">
        <v>28</v>
      </c>
      <c r="H11" s="15">
        <v>13.227</v>
      </c>
      <c r="I11" s="15">
        <v>6.43</v>
      </c>
      <c r="J11" s="15">
        <v>0</v>
      </c>
      <c r="K11" s="15">
        <v>2.762</v>
      </c>
      <c r="L11" s="15">
        <v>2</v>
      </c>
      <c r="M11" s="15">
        <v>0</v>
      </c>
      <c r="N11" s="15">
        <v>1</v>
      </c>
      <c r="O11" s="15"/>
      <c r="P11" s="15"/>
      <c r="Q11" s="15">
        <v>0.54300000000000004</v>
      </c>
      <c r="R11" s="15">
        <v>1.633</v>
      </c>
      <c r="S11" s="15">
        <v>0.64800000000000002</v>
      </c>
      <c r="T11" s="15">
        <v>1.9850000000000001</v>
      </c>
      <c r="U11" s="15">
        <v>4.359</v>
      </c>
      <c r="V11" s="15">
        <v>0.33500000000000002</v>
      </c>
    </row>
    <row r="12" spans="1:26">
      <c r="A12" s="15">
        <v>18</v>
      </c>
      <c r="B12" s="15" t="s">
        <v>112</v>
      </c>
      <c r="C12" s="15">
        <v>1</v>
      </c>
      <c r="D12" s="15" t="s">
        <v>28</v>
      </c>
      <c r="E12" s="15" t="s">
        <v>28</v>
      </c>
      <c r="F12" s="15" t="s">
        <v>28</v>
      </c>
      <c r="G12" s="15" t="s">
        <v>28</v>
      </c>
      <c r="H12" s="15">
        <v>15.5</v>
      </c>
      <c r="I12" s="15">
        <v>7.532</v>
      </c>
      <c r="J12" s="15">
        <v>0</v>
      </c>
      <c r="K12" s="15">
        <v>3.9940000000000002</v>
      </c>
      <c r="L12" s="15">
        <v>1</v>
      </c>
      <c r="M12" s="15">
        <v>0</v>
      </c>
      <c r="N12" s="15">
        <v>1</v>
      </c>
      <c r="O12" s="15"/>
      <c r="P12" s="15"/>
      <c r="Q12" s="15">
        <v>0.78200000000000003</v>
      </c>
      <c r="R12" s="15">
        <v>1.893</v>
      </c>
      <c r="S12" s="15">
        <v>0.56100000000000005</v>
      </c>
      <c r="T12" s="15">
        <v>0.82799999999999996</v>
      </c>
      <c r="U12" s="15">
        <v>2.2810000000000001</v>
      </c>
      <c r="V12" s="15">
        <v>0.54700000000000004</v>
      </c>
    </row>
    <row r="13" spans="1:26">
      <c r="A13" s="15">
        <v>17</v>
      </c>
      <c r="B13" s="15" t="s">
        <v>112</v>
      </c>
      <c r="C13" s="15">
        <v>1</v>
      </c>
      <c r="D13" s="15" t="s">
        <v>27</v>
      </c>
      <c r="E13" s="15" t="s">
        <v>28</v>
      </c>
      <c r="F13" s="15" t="s">
        <v>28</v>
      </c>
      <c r="G13" s="15" t="s">
        <v>28</v>
      </c>
      <c r="H13" s="15">
        <v>15.95</v>
      </c>
      <c r="I13" s="15">
        <v>5.7320000000000002</v>
      </c>
      <c r="J13" s="15">
        <v>0</v>
      </c>
      <c r="K13" s="15">
        <v>3.3439999999999999</v>
      </c>
      <c r="L13" s="15">
        <v>1</v>
      </c>
      <c r="M13" s="15">
        <v>0</v>
      </c>
      <c r="N13" s="15">
        <v>1</v>
      </c>
      <c r="O13" s="15"/>
      <c r="P13" s="15"/>
      <c r="Q13" s="15">
        <v>0.23300000000000001</v>
      </c>
      <c r="R13" s="15">
        <v>0.48099999999999998</v>
      </c>
      <c r="S13" s="15">
        <v>0.81100000000000005</v>
      </c>
      <c r="T13" s="15">
        <v>1.341</v>
      </c>
      <c r="U13" s="15">
        <v>2.4649999999999999</v>
      </c>
      <c r="V13" s="15">
        <v>0.42699999999999999</v>
      </c>
    </row>
    <row r="14" spans="1:26">
      <c r="A14" s="15">
        <v>16</v>
      </c>
      <c r="B14" s="15" t="s">
        <v>112</v>
      </c>
      <c r="C14" s="15">
        <v>1</v>
      </c>
      <c r="D14" s="15" t="s">
        <v>27</v>
      </c>
      <c r="E14" s="15" t="s">
        <v>28</v>
      </c>
      <c r="F14" s="15" t="s">
        <v>27</v>
      </c>
      <c r="G14" s="15" t="s">
        <v>27</v>
      </c>
      <c r="H14" s="15">
        <v>31.667000000000002</v>
      </c>
      <c r="I14" s="15">
        <v>7.4909999999999997</v>
      </c>
      <c r="J14" s="15">
        <v>0</v>
      </c>
      <c r="K14" s="15">
        <v>3.5910000000000002</v>
      </c>
      <c r="L14" s="15">
        <v>1</v>
      </c>
      <c r="M14" s="15">
        <v>0</v>
      </c>
      <c r="N14" s="15">
        <v>1</v>
      </c>
      <c r="O14" s="15"/>
      <c r="P14" s="15"/>
      <c r="Q14" s="15">
        <v>0.318</v>
      </c>
      <c r="R14" s="15">
        <v>0.51100000000000001</v>
      </c>
      <c r="S14" s="15">
        <v>0.75900000000000001</v>
      </c>
      <c r="T14" s="15">
        <v>0.70099999999999996</v>
      </c>
      <c r="U14" s="15">
        <v>1.159</v>
      </c>
      <c r="V14" s="15">
        <v>0.58799999999999997</v>
      </c>
    </row>
    <row r="15" spans="1:26">
      <c r="A15" s="15">
        <v>15</v>
      </c>
      <c r="B15" s="15" t="s">
        <v>112</v>
      </c>
      <c r="C15" s="15">
        <v>1</v>
      </c>
      <c r="D15" s="15" t="s">
        <v>27</v>
      </c>
      <c r="E15" s="15" t="s">
        <v>28</v>
      </c>
      <c r="F15" s="15" t="s">
        <v>28</v>
      </c>
      <c r="G15" s="15" t="s">
        <v>28</v>
      </c>
      <c r="H15" s="15">
        <v>17.847999999999999</v>
      </c>
      <c r="I15" s="15">
        <v>6.8879999999999999</v>
      </c>
      <c r="J15" s="15">
        <v>0</v>
      </c>
      <c r="K15" s="15">
        <v>3.008</v>
      </c>
      <c r="L15" s="15">
        <v>3</v>
      </c>
      <c r="M15" s="15">
        <v>0</v>
      </c>
      <c r="N15" s="15">
        <v>1</v>
      </c>
      <c r="O15" s="15"/>
      <c r="P15" s="15"/>
      <c r="Q15" s="15">
        <v>7.2999999999999995E-2</v>
      </c>
      <c r="R15" s="15">
        <v>0.17100000000000001</v>
      </c>
      <c r="S15" s="15">
        <v>0.93200000000000005</v>
      </c>
      <c r="T15" s="15">
        <v>1.153</v>
      </c>
      <c r="U15" s="15">
        <v>4.165</v>
      </c>
      <c r="V15" s="15">
        <v>0.46400000000000002</v>
      </c>
    </row>
    <row r="16" spans="1:26">
      <c r="A16" s="15">
        <v>14</v>
      </c>
      <c r="B16" s="15" t="s">
        <v>112</v>
      </c>
      <c r="C16" s="15">
        <v>1</v>
      </c>
      <c r="D16" s="15" t="s">
        <v>28</v>
      </c>
      <c r="E16" s="15" t="s">
        <v>28</v>
      </c>
      <c r="F16" s="15" t="s">
        <v>28</v>
      </c>
      <c r="G16" s="15" t="s">
        <v>28</v>
      </c>
      <c r="H16" s="15">
        <v>19.055</v>
      </c>
      <c r="I16" s="15">
        <v>7.9619999999999997</v>
      </c>
      <c r="J16" s="15">
        <v>0</v>
      </c>
      <c r="K16" s="15">
        <v>3.012</v>
      </c>
      <c r="L16" s="15">
        <v>2</v>
      </c>
      <c r="M16" s="15">
        <v>0</v>
      </c>
      <c r="N16" s="15">
        <v>1</v>
      </c>
      <c r="O16" s="15"/>
      <c r="P16" s="15"/>
      <c r="Q16" s="15">
        <v>0.435</v>
      </c>
      <c r="R16" s="15">
        <v>0.85099999999999998</v>
      </c>
      <c r="S16" s="15">
        <v>0.69699999999999995</v>
      </c>
      <c r="T16" s="15">
        <v>2.1589999999999998</v>
      </c>
      <c r="U16" s="15">
        <v>2.9620000000000002</v>
      </c>
      <c r="V16" s="15">
        <v>0.317</v>
      </c>
    </row>
    <row r="17" spans="1:22">
      <c r="A17" s="15">
        <v>13</v>
      </c>
      <c r="B17" s="15" t="s">
        <v>112</v>
      </c>
      <c r="C17" s="15">
        <v>1</v>
      </c>
      <c r="D17" s="15" t="s">
        <v>28</v>
      </c>
      <c r="E17" s="15" t="s">
        <v>27</v>
      </c>
      <c r="F17" s="15" t="s">
        <v>28</v>
      </c>
      <c r="G17" s="15" t="s">
        <v>28</v>
      </c>
      <c r="H17" s="15">
        <v>27.678000000000001</v>
      </c>
      <c r="I17" s="15">
        <v>8.0109999999999992</v>
      </c>
      <c r="J17" s="15">
        <v>0</v>
      </c>
      <c r="K17" s="15">
        <v>3.1859999999999999</v>
      </c>
      <c r="L17" s="15">
        <v>1</v>
      </c>
      <c r="M17" s="15">
        <v>0</v>
      </c>
      <c r="N17" s="15">
        <v>1</v>
      </c>
      <c r="O17" s="15" t="s">
        <v>40</v>
      </c>
      <c r="P17" s="15" t="s">
        <v>31</v>
      </c>
      <c r="Q17" s="15">
        <v>0.439</v>
      </c>
      <c r="R17" s="15">
        <v>0.64800000000000002</v>
      </c>
      <c r="S17" s="15">
        <v>0.69499999999999995</v>
      </c>
      <c r="T17" s="15">
        <v>1.4119999999999999</v>
      </c>
      <c r="U17" s="15">
        <v>2.2480000000000002</v>
      </c>
      <c r="V17" s="15">
        <v>0.41499999999999998</v>
      </c>
    </row>
    <row r="18" spans="1:22">
      <c r="A18" s="15">
        <v>12</v>
      </c>
      <c r="B18" s="15" t="s">
        <v>112</v>
      </c>
      <c r="C18" s="15">
        <v>1</v>
      </c>
      <c r="D18" s="15" t="s">
        <v>27</v>
      </c>
      <c r="E18" s="15" t="s">
        <v>27</v>
      </c>
      <c r="F18" s="15" t="s">
        <v>27</v>
      </c>
      <c r="G18" s="15" t="s">
        <v>27</v>
      </c>
      <c r="H18" s="15">
        <v>13.669</v>
      </c>
      <c r="I18" s="15">
        <v>5.31</v>
      </c>
      <c r="J18" s="15">
        <v>0</v>
      </c>
      <c r="K18" s="15">
        <v>4.157</v>
      </c>
      <c r="L18" s="15">
        <v>1</v>
      </c>
      <c r="M18" s="15">
        <v>0</v>
      </c>
      <c r="N18" s="15">
        <v>1</v>
      </c>
      <c r="O18" s="15" t="s">
        <v>40</v>
      </c>
      <c r="P18" s="15" t="s">
        <v>31</v>
      </c>
      <c r="Q18" s="15">
        <v>0.20300000000000001</v>
      </c>
      <c r="R18" s="15">
        <v>0.24399999999999999</v>
      </c>
      <c r="S18" s="15">
        <v>0.83099999999999996</v>
      </c>
      <c r="T18" s="15">
        <v>0.86699999999999999</v>
      </c>
      <c r="U18" s="15">
        <v>1.413</v>
      </c>
      <c r="V18" s="15">
        <v>0.53600000000000003</v>
      </c>
    </row>
    <row r="19" spans="1:22">
      <c r="A19" s="15">
        <v>11</v>
      </c>
      <c r="B19" s="15" t="s">
        <v>112</v>
      </c>
      <c r="C19" s="15">
        <v>1</v>
      </c>
      <c r="D19" s="15" t="s">
        <v>27</v>
      </c>
      <c r="E19" s="15" t="s">
        <v>27</v>
      </c>
      <c r="F19" s="15" t="s">
        <v>27</v>
      </c>
      <c r="G19" s="15" t="s">
        <v>27</v>
      </c>
      <c r="H19" s="15">
        <v>15.837999999999999</v>
      </c>
      <c r="I19" s="15">
        <v>7.0110000000000001</v>
      </c>
      <c r="J19" s="15">
        <v>0</v>
      </c>
      <c r="K19" s="15">
        <v>4.681</v>
      </c>
      <c r="L19" s="15">
        <v>1</v>
      </c>
      <c r="M19" s="15">
        <v>0</v>
      </c>
      <c r="N19" s="15">
        <v>1</v>
      </c>
      <c r="O19" s="15" t="s">
        <v>40</v>
      </c>
      <c r="P19" s="15" t="s">
        <v>31</v>
      </c>
      <c r="Q19" s="15">
        <v>0.23200000000000001</v>
      </c>
      <c r="R19" s="15">
        <v>0.309</v>
      </c>
      <c r="S19" s="15">
        <v>0.81200000000000006</v>
      </c>
      <c r="T19" s="15">
        <v>0.77500000000000002</v>
      </c>
      <c r="U19" s="15">
        <v>1.4179999999999999</v>
      </c>
      <c r="V19" s="15">
        <v>0.56299999999999994</v>
      </c>
    </row>
    <row r="20" spans="1:22">
      <c r="A20">
        <v>10</v>
      </c>
      <c r="B20" t="s">
        <v>112</v>
      </c>
      <c r="C20">
        <v>0</v>
      </c>
      <c r="D20" t="s">
        <v>27</v>
      </c>
      <c r="E20" t="s">
        <v>27</v>
      </c>
      <c r="F20" t="s">
        <v>28</v>
      </c>
      <c r="G20" t="s">
        <v>27</v>
      </c>
      <c r="H20">
        <v>13.526999999999999</v>
      </c>
      <c r="I20">
        <v>5.0640000000000001</v>
      </c>
      <c r="J20">
        <v>0</v>
      </c>
      <c r="K20">
        <v>4.3559999999999999</v>
      </c>
      <c r="L20">
        <v>1</v>
      </c>
      <c r="M20">
        <v>0</v>
      </c>
      <c r="N20">
        <v>1</v>
      </c>
      <c r="O20" t="s">
        <v>40</v>
      </c>
      <c r="P20" t="s">
        <v>31</v>
      </c>
      <c r="Q20">
        <v>0.33300000000000002</v>
      </c>
      <c r="R20">
        <v>0.441</v>
      </c>
      <c r="S20">
        <v>0.75</v>
      </c>
      <c r="T20">
        <v>1.4670000000000001</v>
      </c>
      <c r="U20">
        <v>3.0710000000000002</v>
      </c>
      <c r="V20">
        <v>0.40500000000000003</v>
      </c>
    </row>
    <row r="21" spans="1:22">
      <c r="A21">
        <v>9</v>
      </c>
      <c r="B21" t="s">
        <v>112</v>
      </c>
      <c r="C21">
        <v>0</v>
      </c>
      <c r="D21" t="s">
        <v>27</v>
      </c>
      <c r="E21" t="s">
        <v>27</v>
      </c>
      <c r="F21" t="s">
        <v>28</v>
      </c>
      <c r="G21" t="s">
        <v>27</v>
      </c>
      <c r="H21">
        <v>14.515000000000001</v>
      </c>
      <c r="I21">
        <v>4.68</v>
      </c>
      <c r="J21">
        <v>0</v>
      </c>
      <c r="K21">
        <v>4.585</v>
      </c>
      <c r="L21">
        <v>1</v>
      </c>
      <c r="M21">
        <v>0</v>
      </c>
      <c r="N21">
        <v>1</v>
      </c>
      <c r="O21" t="s">
        <v>40</v>
      </c>
      <c r="P21" t="s">
        <v>31</v>
      </c>
      <c r="Q21">
        <v>0.34899999999999998</v>
      </c>
      <c r="R21">
        <v>0.45500000000000002</v>
      </c>
      <c r="S21">
        <v>0.74099999999999999</v>
      </c>
      <c r="T21">
        <v>1.0640000000000001</v>
      </c>
      <c r="U21">
        <v>1.843</v>
      </c>
      <c r="V21">
        <v>0.48399999999999999</v>
      </c>
    </row>
    <row r="22" spans="1:22">
      <c r="A22">
        <v>8</v>
      </c>
      <c r="B22" t="s">
        <v>112</v>
      </c>
      <c r="C22">
        <v>0</v>
      </c>
      <c r="D22" t="s">
        <v>27</v>
      </c>
      <c r="E22" t="s">
        <v>27</v>
      </c>
      <c r="F22" t="s">
        <v>27</v>
      </c>
      <c r="G22" t="s">
        <v>27</v>
      </c>
      <c r="H22">
        <v>14.664999999999999</v>
      </c>
      <c r="I22">
        <v>5.9880000000000004</v>
      </c>
      <c r="J22">
        <v>0</v>
      </c>
      <c r="K22">
        <v>4.07</v>
      </c>
      <c r="L22">
        <v>1</v>
      </c>
      <c r="M22">
        <v>0</v>
      </c>
      <c r="N22">
        <v>1</v>
      </c>
      <c r="O22" t="s">
        <v>40</v>
      </c>
      <c r="P22" t="s">
        <v>31</v>
      </c>
      <c r="Q22">
        <v>0.316</v>
      </c>
      <c r="R22">
        <v>0.372</v>
      </c>
      <c r="S22">
        <v>0.76</v>
      </c>
      <c r="T22">
        <v>0.71799999999999997</v>
      </c>
      <c r="U22">
        <v>1.649</v>
      </c>
      <c r="V22">
        <v>0.58199999999999996</v>
      </c>
    </row>
    <row r="23" spans="1:22">
      <c r="A23">
        <v>7</v>
      </c>
      <c r="B23" t="s">
        <v>112</v>
      </c>
      <c r="C23">
        <v>0</v>
      </c>
      <c r="D23" t="s">
        <v>27</v>
      </c>
      <c r="E23" t="s">
        <v>27</v>
      </c>
      <c r="F23" t="s">
        <v>27</v>
      </c>
      <c r="G23" t="s">
        <v>27</v>
      </c>
      <c r="H23">
        <v>12.345000000000001</v>
      </c>
      <c r="I23">
        <v>4.4859999999999998</v>
      </c>
      <c r="J23">
        <v>0</v>
      </c>
      <c r="K23">
        <v>3.94</v>
      </c>
      <c r="L23">
        <v>1</v>
      </c>
      <c r="M23">
        <v>0</v>
      </c>
      <c r="N23">
        <v>1</v>
      </c>
      <c r="O23" t="s">
        <v>40</v>
      </c>
      <c r="P23" t="s">
        <v>31</v>
      </c>
      <c r="Q23">
        <v>0.316</v>
      </c>
      <c r="R23">
        <v>0.45500000000000002</v>
      </c>
      <c r="S23">
        <v>0.76</v>
      </c>
      <c r="T23">
        <v>0.73599999999999999</v>
      </c>
      <c r="U23">
        <v>1.3580000000000001</v>
      </c>
      <c r="V23">
        <v>0.57599999999999996</v>
      </c>
    </row>
    <row r="24" spans="1:22">
      <c r="A24">
        <v>6</v>
      </c>
      <c r="B24" t="s">
        <v>112</v>
      </c>
      <c r="C24">
        <v>0</v>
      </c>
      <c r="D24" t="s">
        <v>27</v>
      </c>
      <c r="E24" t="s">
        <v>27</v>
      </c>
      <c r="F24" t="s">
        <v>28</v>
      </c>
      <c r="G24" t="s">
        <v>27</v>
      </c>
      <c r="H24">
        <v>16.442</v>
      </c>
      <c r="I24">
        <v>6.7009999999999996</v>
      </c>
      <c r="J24">
        <v>0</v>
      </c>
      <c r="K24">
        <v>4.319</v>
      </c>
      <c r="L24">
        <v>1</v>
      </c>
      <c r="M24">
        <v>0</v>
      </c>
      <c r="N24">
        <v>1</v>
      </c>
      <c r="O24" t="s">
        <v>40</v>
      </c>
      <c r="P24" t="s">
        <v>31</v>
      </c>
      <c r="Q24">
        <v>0.14899999999999999</v>
      </c>
      <c r="R24">
        <v>0.41399999999999998</v>
      </c>
      <c r="S24">
        <v>0.87</v>
      </c>
      <c r="T24">
        <v>1.3480000000000001</v>
      </c>
      <c r="U24">
        <v>2.4750000000000001</v>
      </c>
      <c r="V24">
        <v>0.42599999999999999</v>
      </c>
    </row>
    <row r="25" spans="1:22">
      <c r="A25">
        <v>5</v>
      </c>
      <c r="B25" t="s">
        <v>112</v>
      </c>
      <c r="C25">
        <v>0</v>
      </c>
      <c r="D25" t="s">
        <v>27</v>
      </c>
      <c r="E25" t="s">
        <v>27</v>
      </c>
      <c r="F25" t="s">
        <v>27</v>
      </c>
      <c r="G25" t="s">
        <v>27</v>
      </c>
      <c r="H25">
        <v>14.946999999999999</v>
      </c>
      <c r="I25">
        <v>6.6</v>
      </c>
      <c r="J25">
        <v>0</v>
      </c>
      <c r="K25">
        <v>4.056</v>
      </c>
      <c r="L25">
        <v>1</v>
      </c>
      <c r="M25">
        <v>0</v>
      </c>
      <c r="N25">
        <v>1</v>
      </c>
      <c r="O25" t="s">
        <v>40</v>
      </c>
      <c r="P25" t="s">
        <v>31</v>
      </c>
      <c r="Q25">
        <v>0.224</v>
      </c>
      <c r="R25">
        <v>0.34300000000000003</v>
      </c>
      <c r="S25">
        <v>0.81699999999999995</v>
      </c>
      <c r="T25">
        <v>0.54600000000000004</v>
      </c>
      <c r="U25">
        <v>1.032</v>
      </c>
      <c r="V25">
        <v>0.64700000000000002</v>
      </c>
    </row>
    <row r="26" spans="1:22">
      <c r="A26">
        <v>4</v>
      </c>
      <c r="B26" t="s">
        <v>112</v>
      </c>
      <c r="C26">
        <v>0</v>
      </c>
      <c r="D26" t="s">
        <v>27</v>
      </c>
      <c r="E26" t="s">
        <v>27</v>
      </c>
      <c r="F26" t="s">
        <v>28</v>
      </c>
      <c r="G26" t="s">
        <v>27</v>
      </c>
      <c r="H26">
        <v>11.788</v>
      </c>
      <c r="I26">
        <v>4.343</v>
      </c>
      <c r="J26">
        <v>0</v>
      </c>
      <c r="K26">
        <v>3.67</v>
      </c>
      <c r="L26">
        <v>1</v>
      </c>
      <c r="M26">
        <v>0</v>
      </c>
      <c r="N26">
        <v>1</v>
      </c>
      <c r="O26" t="s">
        <v>40</v>
      </c>
      <c r="P26" t="s">
        <v>31</v>
      </c>
      <c r="Q26">
        <v>0.26</v>
      </c>
      <c r="R26">
        <v>0.35599999999999998</v>
      </c>
      <c r="S26">
        <v>0.79300000000000004</v>
      </c>
      <c r="T26">
        <v>1.3180000000000001</v>
      </c>
      <c r="U26">
        <v>3.085</v>
      </c>
      <c r="V26">
        <v>0.43099999999999999</v>
      </c>
    </row>
    <row r="27" spans="1:22">
      <c r="A27">
        <v>3</v>
      </c>
      <c r="B27" t="s">
        <v>112</v>
      </c>
      <c r="C27">
        <v>0</v>
      </c>
      <c r="D27" t="s">
        <v>27</v>
      </c>
      <c r="E27" t="s">
        <v>27</v>
      </c>
      <c r="F27" t="s">
        <v>27</v>
      </c>
      <c r="G27" t="s">
        <v>27</v>
      </c>
      <c r="H27">
        <v>12.724</v>
      </c>
      <c r="I27">
        <v>4.2279999999999998</v>
      </c>
      <c r="J27">
        <v>0</v>
      </c>
      <c r="K27">
        <v>4.3079999999999998</v>
      </c>
      <c r="L27">
        <v>1</v>
      </c>
      <c r="M27">
        <v>0</v>
      </c>
      <c r="N27">
        <v>1</v>
      </c>
      <c r="O27" t="s">
        <v>40</v>
      </c>
      <c r="P27" t="s">
        <v>31</v>
      </c>
      <c r="Q27">
        <v>0.35599999999999998</v>
      </c>
      <c r="R27">
        <v>0.38900000000000001</v>
      </c>
      <c r="S27">
        <v>0.73699999999999999</v>
      </c>
      <c r="T27">
        <v>0.71099999999999997</v>
      </c>
      <c r="U27">
        <v>1.22</v>
      </c>
      <c r="V27">
        <v>0.58399999999999996</v>
      </c>
    </row>
    <row r="28" spans="1:22">
      <c r="A28">
        <v>2</v>
      </c>
      <c r="B28" t="s">
        <v>112</v>
      </c>
      <c r="C28">
        <v>0</v>
      </c>
      <c r="D28" t="s">
        <v>27</v>
      </c>
      <c r="E28" t="s">
        <v>27</v>
      </c>
      <c r="F28" t="s">
        <v>28</v>
      </c>
      <c r="G28" t="s">
        <v>27</v>
      </c>
      <c r="H28">
        <v>18.260000000000002</v>
      </c>
      <c r="I28">
        <v>0</v>
      </c>
      <c r="J28">
        <v>0</v>
      </c>
      <c r="K28">
        <v>4.1740000000000004</v>
      </c>
      <c r="L28">
        <v>1</v>
      </c>
      <c r="M28">
        <v>0</v>
      </c>
      <c r="N28">
        <v>1</v>
      </c>
      <c r="O28" t="s">
        <v>40</v>
      </c>
      <c r="P28" t="s">
        <v>31</v>
      </c>
      <c r="Q28">
        <v>0.17599999999999999</v>
      </c>
      <c r="R28">
        <v>0.23699999999999999</v>
      </c>
      <c r="S28">
        <v>0.85</v>
      </c>
      <c r="T28">
        <v>1.097</v>
      </c>
      <c r="U28">
        <v>2.319</v>
      </c>
      <c r="V28">
        <v>0.47699999999999998</v>
      </c>
    </row>
    <row r="29" spans="1:22">
      <c r="A29">
        <v>1</v>
      </c>
      <c r="B29" t="s">
        <v>112</v>
      </c>
      <c r="C29">
        <v>0</v>
      </c>
      <c r="D29" t="s">
        <v>27</v>
      </c>
      <c r="E29" t="s">
        <v>27</v>
      </c>
      <c r="F29" t="s">
        <v>27</v>
      </c>
      <c r="G29" t="s">
        <v>27</v>
      </c>
      <c r="H29">
        <v>24.353000000000002</v>
      </c>
      <c r="I29">
        <v>9.2469999999999999</v>
      </c>
      <c r="J29">
        <v>0</v>
      </c>
      <c r="K29">
        <v>3.9590000000000001</v>
      </c>
      <c r="L29">
        <v>1</v>
      </c>
      <c r="M29">
        <v>0</v>
      </c>
      <c r="N29">
        <v>1</v>
      </c>
      <c r="O29" t="s">
        <v>40</v>
      </c>
      <c r="P29" t="s">
        <v>31</v>
      </c>
      <c r="Q29">
        <v>0.189</v>
      </c>
      <c r="R29">
        <v>0.27800000000000002</v>
      </c>
      <c r="S29">
        <v>0.84099999999999997</v>
      </c>
      <c r="T29">
        <v>0.77600000000000002</v>
      </c>
      <c r="U29">
        <v>1.1080000000000001</v>
      </c>
      <c r="V29">
        <v>0.56299999999999994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7056-8956-4764-8CE5-F2F04715AAFE}">
  <dimension ref="A1:AA64"/>
  <sheetViews>
    <sheetView zoomScale="85" zoomScaleNormal="85" workbookViewId="0">
      <selection activeCell="T37" sqref="T37"/>
    </sheetView>
  </sheetViews>
  <sheetFormatPr defaultRowHeight="15"/>
  <cols>
    <col min="1" max="1" width="30.7109375" bestFit="1" customWidth="1"/>
    <col min="2" max="2" width="18.140625" bestFit="1" customWidth="1"/>
    <col min="3" max="3" width="18.28515625" bestFit="1" customWidth="1"/>
    <col min="5" max="5" width="13.7109375" bestFit="1" customWidth="1"/>
    <col min="6" max="6" width="13.140625" bestFit="1" customWidth="1"/>
    <col min="9" max="9" width="13.5703125" bestFit="1" customWidth="1"/>
    <col min="27" max="27" width="5.28515625" customWidth="1"/>
  </cols>
  <sheetData>
    <row r="1" spans="1:7">
      <c r="A1" s="11" t="s">
        <v>77</v>
      </c>
    </row>
    <row r="3" spans="1:7">
      <c r="A3" s="4" t="s">
        <v>70</v>
      </c>
      <c r="B3" s="4" t="s">
        <v>71</v>
      </c>
    </row>
    <row r="4" spans="1:7">
      <c r="A4" t="s">
        <v>72</v>
      </c>
      <c r="B4">
        <f>COUNTA(_xlfn.UNIQUE(Attempts[username]))</f>
        <v>6</v>
      </c>
    </row>
    <row r="5" spans="1:7">
      <c r="A5" t="s">
        <v>73</v>
      </c>
      <c r="B5">
        <f>COUNTIF(Attempts[is_impostor],0)</f>
        <v>60</v>
      </c>
    </row>
    <row r="6" spans="1:7">
      <c r="A6" t="s">
        <v>74</v>
      </c>
      <c r="B6">
        <f>COUNTIF(Attempts[is_impostor],1)</f>
        <v>60</v>
      </c>
    </row>
    <row r="7" spans="1:7">
      <c r="A7" t="s">
        <v>75</v>
      </c>
      <c r="B7">
        <f>ROWS(Attempts[id])</f>
        <v>120</v>
      </c>
    </row>
    <row r="8" spans="1:7">
      <c r="A8" t="s">
        <v>76</v>
      </c>
      <c r="B8">
        <v>5</v>
      </c>
    </row>
    <row r="9" spans="1:7">
      <c r="A9" t="s">
        <v>108</v>
      </c>
      <c r="B9">
        <v>2</v>
      </c>
    </row>
    <row r="12" spans="1:7">
      <c r="A12" s="4" t="s">
        <v>78</v>
      </c>
    </row>
    <row r="14" spans="1:7">
      <c r="A14" s="4" t="s">
        <v>70</v>
      </c>
      <c r="B14" s="4" t="s">
        <v>79</v>
      </c>
      <c r="C14" s="4" t="s">
        <v>80</v>
      </c>
    </row>
    <row r="15" spans="1:7">
      <c r="A15" t="s">
        <v>82</v>
      </c>
      <c r="B15" s="3">
        <f>COUNTIFS(Attempts[is_impostor],0,Attempts[keystroke_pass],1)</f>
        <v>54</v>
      </c>
      <c r="C15" s="3">
        <f>COUNTIFS(Attempts[is_impostor],1,Attempts[keystroke_pass],1)</f>
        <v>5</v>
      </c>
      <c r="E15" t="s">
        <v>115</v>
      </c>
    </row>
    <row r="16" spans="1:7">
      <c r="A16" t="s">
        <v>83</v>
      </c>
      <c r="B16" s="3">
        <f>COUNTIFS(Attempts[is_impostor],0,Attempts[keystroke_pass],0)</f>
        <v>6</v>
      </c>
      <c r="C16" s="3">
        <f>COUNTIFS(Attempts[is_impostor],1,Attempts[keystroke_pass],0)</f>
        <v>55</v>
      </c>
      <c r="F16" s="4" t="s">
        <v>79</v>
      </c>
      <c r="G16" s="4" t="s">
        <v>80</v>
      </c>
    </row>
    <row r="17" spans="1:7">
      <c r="A17" t="s">
        <v>84</v>
      </c>
      <c r="B17" s="14">
        <f>AVERAGEIFS(Attempts[keystroke_pass],Attempts[is_impostor],0)</f>
        <v>0.9</v>
      </c>
      <c r="C17" s="14">
        <f>AVERAGEIFS(Attempts[keystroke_pass],Attempts[is_impostor],1)</f>
        <v>8.3333333333333329E-2</v>
      </c>
      <c r="E17" s="4" t="s">
        <v>84</v>
      </c>
      <c r="F17" s="14">
        <f>AVERAGEIFS(Attempts[keystroke_pass],Attempts[is_impostor],0)</f>
        <v>0.9</v>
      </c>
      <c r="G17" s="14">
        <f>AVERAGEIFS(Attempts[keystroke_pass],Attempts[is_impostor],1)</f>
        <v>8.3333333333333329E-2</v>
      </c>
    </row>
    <row r="18" spans="1:7">
      <c r="A18" t="s">
        <v>86</v>
      </c>
      <c r="B18" s="3">
        <f>AVERAGEIFS(Attempts[keystroke_avg_z],Attempts[is_impostor],0)</f>
        <v>0.37011666666666659</v>
      </c>
      <c r="C18" s="3">
        <f>AVERAGEIFS(Attempts[keystroke_avg_z],Attempts[is_impostor],1)</f>
        <v>0.86359999999999992</v>
      </c>
    </row>
    <row r="19" spans="1:7">
      <c r="A19" t="s">
        <v>87</v>
      </c>
      <c r="B19" s="3">
        <f>AVERAGEIFS(Attempts[keystroke_max_z],Attempts[is_impostor],0)</f>
        <v>0.93608333333333305</v>
      </c>
      <c r="C19" s="3">
        <f>AVERAGEIFS(Attempts[keystroke_max_z],Attempts[is_impostor],1)</f>
        <v>1.6333333333333335</v>
      </c>
    </row>
    <row r="20" spans="1:7">
      <c r="A20" t="s">
        <v>88</v>
      </c>
      <c r="B20" s="3">
        <f>AVERAGEIFS(Attempts[keystroke_similarity],Attempts[is_impostor],0)</f>
        <v>0.8158333333333333</v>
      </c>
      <c r="C20" s="3">
        <f>AVERAGEIFS(Attempts[keystroke_similarity],Attempts[is_impostor],1)</f>
        <v>0.5794666666666668</v>
      </c>
    </row>
    <row r="23" spans="1:7">
      <c r="A23" s="4" t="s">
        <v>81</v>
      </c>
    </row>
    <row r="25" spans="1:7">
      <c r="A25" s="4" t="s">
        <v>70</v>
      </c>
      <c r="B25" s="4" t="s">
        <v>79</v>
      </c>
      <c r="C25" s="4" t="s">
        <v>80</v>
      </c>
    </row>
    <row r="26" spans="1:7">
      <c r="A26" t="s">
        <v>82</v>
      </c>
      <c r="B26" s="3">
        <f>COUNTIFS(Attempts[is_impostor],0,Attempts[graphical_pass],1)</f>
        <v>60</v>
      </c>
      <c r="C26" s="3">
        <f>COUNTIFS(Attempts[is_impostor],1,Attempts[graphical_pass],1)</f>
        <v>14</v>
      </c>
      <c r="E26" t="s">
        <v>116</v>
      </c>
    </row>
    <row r="27" spans="1:7">
      <c r="A27" t="s">
        <v>83</v>
      </c>
      <c r="B27" s="3">
        <f>COUNTIFS(Attempts[is_impostor],0,Attempts[graphical_pass],0)</f>
        <v>0</v>
      </c>
      <c r="C27" s="3">
        <f>COUNTIFS(Attempts[is_impostor],1,Attempts[graphical_pass],0)</f>
        <v>46</v>
      </c>
      <c r="F27" s="4" t="s">
        <v>79</v>
      </c>
      <c r="G27" s="4" t="s">
        <v>80</v>
      </c>
    </row>
    <row r="28" spans="1:7">
      <c r="A28" t="s">
        <v>84</v>
      </c>
      <c r="B28" s="14">
        <f>AVERAGEIFS(Attempts[graphical_pass],Attempts[is_impostor],0)</f>
        <v>1</v>
      </c>
      <c r="C28" s="14">
        <f>AVERAGEIFS(Attempts[graphical_pass],Attempts[is_impostor],1)</f>
        <v>0.23333333333333334</v>
      </c>
      <c r="E28" s="4" t="s">
        <v>84</v>
      </c>
      <c r="F28" s="14">
        <f>AVERAGEIFS(Attempts[graphical_pass],Attempts[is_impostor],0)</f>
        <v>1</v>
      </c>
      <c r="G28" s="14">
        <f>AVERAGEIFS(Attempts[graphical_pass],Attempts[is_impostor],1)</f>
        <v>0.23333333333333334</v>
      </c>
    </row>
    <row r="31" spans="1:7">
      <c r="A31" s="4" t="s">
        <v>85</v>
      </c>
    </row>
    <row r="33" spans="1:27">
      <c r="A33" s="4" t="s">
        <v>70</v>
      </c>
      <c r="B33" s="4" t="s">
        <v>79</v>
      </c>
      <c r="C33" s="4" t="s">
        <v>80</v>
      </c>
      <c r="I33" s="4"/>
      <c r="J33" s="4"/>
      <c r="K33" s="4"/>
      <c r="L33" s="4"/>
    </row>
    <row r="34" spans="1:27">
      <c r="A34" t="s">
        <v>82</v>
      </c>
      <c r="B34" s="3">
        <f>COUNTIFS(Attempts[is_impostor],0,Attempts[mouse_pass],1)</f>
        <v>35</v>
      </c>
      <c r="C34" s="3">
        <f>COUNTIFS(Attempts[is_impostor],1,Attempts[mouse_pass],1)</f>
        <v>16</v>
      </c>
      <c r="E34" t="s">
        <v>117</v>
      </c>
      <c r="I34" s="3"/>
      <c r="J34" s="3"/>
      <c r="K34" s="3"/>
      <c r="L34" s="3"/>
    </row>
    <row r="35" spans="1:27">
      <c r="A35" t="s">
        <v>83</v>
      </c>
      <c r="B35" s="3">
        <f>COUNTIFS(Attempts[is_impostor],0,Attempts[mouse_pass],0)</f>
        <v>25</v>
      </c>
      <c r="C35" s="3">
        <f>COUNTIFS(Attempts[is_impostor],1,Attempts[mouse_pass],0)</f>
        <v>44</v>
      </c>
      <c r="F35" s="4" t="s">
        <v>79</v>
      </c>
      <c r="G35" s="4" t="s">
        <v>80</v>
      </c>
      <c r="I35" s="3"/>
      <c r="J35" s="3"/>
      <c r="K35" s="3"/>
      <c r="L35" s="3"/>
      <c r="AA35" s="15"/>
    </row>
    <row r="36" spans="1:27">
      <c r="A36" t="s">
        <v>84</v>
      </c>
      <c r="B36" s="14">
        <f>AVERAGEIFS(Attempts[mouse_pass],Attempts[is_impostor],0)</f>
        <v>0.58333333333333337</v>
      </c>
      <c r="C36" s="14">
        <f>AVERAGEIFS(Attempts[mouse_pass],Attempts[is_impostor],1)</f>
        <v>0.26666666666666666</v>
      </c>
      <c r="E36" s="4" t="s">
        <v>84</v>
      </c>
      <c r="F36" s="14">
        <f>AVERAGEIFS(Attempts[mouse_pass],Attempts[is_impostor],0)</f>
        <v>0.58333333333333337</v>
      </c>
      <c r="G36" s="14">
        <f>AVERAGEIFS(Attempts[mouse_pass],Attempts[is_impostor],1)</f>
        <v>0.26666666666666666</v>
      </c>
      <c r="AA36" s="15"/>
    </row>
    <row r="37" spans="1:27">
      <c r="A37" t="s">
        <v>86</v>
      </c>
      <c r="B37" s="3">
        <f>AVERAGEIFS(Attempts[mouse_avg_z],Attempts[is_impostor],0)</f>
        <v>1.0615499999999998</v>
      </c>
      <c r="C37" s="3">
        <f>AVERAGEIFS(Attempts[mouse_avg_z],Attempts[is_impostor],1)</f>
        <v>2.1249833333333328</v>
      </c>
      <c r="AA37" s="15"/>
    </row>
    <row r="38" spans="1:27">
      <c r="A38" t="s">
        <v>87</v>
      </c>
      <c r="B38" s="3">
        <f>AVERAGEIFS(Attempts[mouse_max_z],Attempts[is_impostor],0)</f>
        <v>1.925033333333334</v>
      </c>
      <c r="C38" s="3">
        <f>AVERAGEIFS(Attempts[mouse_max_z],Attempts[is_impostor],1)</f>
        <v>3.6478833333333336</v>
      </c>
      <c r="AA38" s="15"/>
    </row>
    <row r="39" spans="1:27">
      <c r="A39" t="s">
        <v>88</v>
      </c>
      <c r="B39" s="3">
        <f>AVERAGEIFS(Attempts[mouse_similarity],Attempts[is_impostor],0)</f>
        <v>0.52050000000000007</v>
      </c>
      <c r="C39" s="3">
        <f>AVERAGEIFS(Attempts[mouse_similarity],Attempts[is_impostor],1)</f>
        <v>0.38176666666666664</v>
      </c>
      <c r="AA39" s="15"/>
    </row>
    <row r="40" spans="1:27">
      <c r="AA40" s="15"/>
    </row>
    <row r="41" spans="1:27">
      <c r="AA41" s="15"/>
    </row>
    <row r="42" spans="1:27">
      <c r="A42" s="4" t="s">
        <v>89</v>
      </c>
      <c r="AA42" s="15"/>
    </row>
    <row r="43" spans="1:27">
      <c r="AA43" s="15"/>
    </row>
    <row r="44" spans="1:27">
      <c r="A44" s="4" t="s">
        <v>90</v>
      </c>
      <c r="B44" s="4" t="s">
        <v>91</v>
      </c>
      <c r="C44" s="4" t="s">
        <v>92</v>
      </c>
      <c r="D44" s="4" t="s">
        <v>24</v>
      </c>
      <c r="E44" s="4" t="s">
        <v>23</v>
      </c>
      <c r="F44" s="4" t="s">
        <v>22</v>
      </c>
      <c r="G44" s="4" t="s">
        <v>25</v>
      </c>
      <c r="AA44" s="15"/>
    </row>
    <row r="45" spans="1:27">
      <c r="A45" t="s">
        <v>93</v>
      </c>
      <c r="B45" s="14">
        <f>AVERAGEIFS(Attempts[strict_3_gate_pass],Attempts[is_impostor],0)</f>
        <v>0.53333333333333333</v>
      </c>
      <c r="C45" s="14">
        <f>AVERAGEIFS(Attempts[strict_3_gate_pass],Attempts[is_impostor],1)</f>
        <v>0</v>
      </c>
      <c r="D45" s="3">
        <f>AVERAGEIFS(Attempts[strict_3_gate_pass],Attempts[is_impostor],0)</f>
        <v>0.53333333333333333</v>
      </c>
      <c r="E45" s="3">
        <f>1-AVERAGEIFS(Attempts[strict_3_gate_pass],Attempts[is_impostor],0)</f>
        <v>0.46666666666666667</v>
      </c>
      <c r="F45" s="3">
        <f>AVERAGEIFS(Attempts[strict_3_gate_pass],Attempts[is_impostor],1)</f>
        <v>0</v>
      </c>
      <c r="G45" s="3">
        <f>1-AVERAGEIFS(Attempts[strict_3_gate_pass],Attempts[is_impostor],1)</f>
        <v>1</v>
      </c>
      <c r="AA45" s="15"/>
    </row>
    <row r="46" spans="1:27">
      <c r="A46" t="s">
        <v>94</v>
      </c>
      <c r="B46" s="14">
        <f>AVERAGEIFS(Attempts[weighted_pass],Attempts[is_impostor],0)</f>
        <v>0.9</v>
      </c>
      <c r="C46" s="14">
        <f>AVERAGEIFS(Attempts[weighted_pass],Attempts[is_impostor],1)</f>
        <v>0.05</v>
      </c>
      <c r="D46" s="3">
        <f>AVERAGEIFS(Attempts[weighted_pass],Attempts[is_impostor],0)</f>
        <v>0.9</v>
      </c>
      <c r="E46" s="3">
        <f>1-AVERAGEIFS(Attempts[weighted_pass],Attempts[is_impostor],0)</f>
        <v>9.9999999999999978E-2</v>
      </c>
      <c r="F46" s="3">
        <f>AVERAGEIFS(Attempts[weighted_pass],Attempts[is_impostor],1)</f>
        <v>0.05</v>
      </c>
      <c r="G46" s="3">
        <f>1-AVERAGEIFS(Attempts[weighted_pass],Attempts[is_impostor],1)</f>
        <v>0.95</v>
      </c>
      <c r="AA46" s="15"/>
    </row>
    <row r="47" spans="1:27">
      <c r="AA47" s="15"/>
    </row>
    <row r="48" spans="1:27">
      <c r="E48" t="s">
        <v>118</v>
      </c>
      <c r="F48" s="4" t="s">
        <v>79</v>
      </c>
      <c r="G48" s="4" t="s">
        <v>80</v>
      </c>
      <c r="AA48" s="15"/>
    </row>
    <row r="49" spans="1:27">
      <c r="A49" s="4" t="s">
        <v>95</v>
      </c>
      <c r="E49" t="s">
        <v>93</v>
      </c>
      <c r="F49" s="14">
        <f>AVERAGEIFS(Attempts[strict_3_gate_pass],Attempts[is_impostor],0)</f>
        <v>0.53333333333333333</v>
      </c>
      <c r="G49" s="14">
        <f>AVERAGEIFS(Attempts[strict_3_gate_pass],Attempts[is_impostor],1)</f>
        <v>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>
      <c r="E50" t="s">
        <v>94</v>
      </c>
      <c r="F50" s="14">
        <f>AVERAGEIFS(Attempts[weighted_pass],Attempts[is_impostor],0)</f>
        <v>0.9</v>
      </c>
      <c r="G50" s="14">
        <f>AVERAGEIFS(Attempts[weighted_pass],Attempts[is_impostor],1)</f>
        <v>0.05</v>
      </c>
    </row>
    <row r="51" spans="1:27">
      <c r="A51" s="4" t="s">
        <v>70</v>
      </c>
      <c r="B51" s="4" t="s">
        <v>71</v>
      </c>
    </row>
    <row r="52" spans="1:27">
      <c r="A52" t="s">
        <v>96</v>
      </c>
      <c r="B52" s="3">
        <f>AVERAGEIFS(Attempts[login_time_seconds],Attempts[is_impostor],0)</f>
        <v>24.19703333333333</v>
      </c>
    </row>
    <row r="53" spans="1:27">
      <c r="A53" t="s">
        <v>97</v>
      </c>
      <c r="B53" s="3">
        <f>AVERAGEIFS(Attempts[keystroke_time],Attempts[is_impostor],0)</f>
        <v>10.853333333333335</v>
      </c>
    </row>
    <row r="54" spans="1:27">
      <c r="A54" t="s">
        <v>98</v>
      </c>
      <c r="B54" s="3">
        <f>AVERAGEIFS(Attempts[graphical_time],Attempts[is_impostor],0)</f>
        <v>8.3774833333333323</v>
      </c>
      <c r="E54" t="s">
        <v>119</v>
      </c>
      <c r="F54" s="4" t="s">
        <v>123</v>
      </c>
      <c r="G54" s="4"/>
    </row>
    <row r="55" spans="1:27">
      <c r="A55" t="s">
        <v>99</v>
      </c>
      <c r="B55" s="3">
        <f>AVERAGEIFS(Attempts[mouse_time],Attempts[is_impostor],0)</f>
        <v>4.9662166666666661</v>
      </c>
      <c r="E55" t="s">
        <v>120</v>
      </c>
      <c r="F55" s="3">
        <f>AVERAGEIFS(Attempts[keystroke_time],Attempts[is_impostor],0)</f>
        <v>10.853333333333335</v>
      </c>
      <c r="G55" s="14"/>
    </row>
    <row r="56" spans="1:27">
      <c r="E56" t="s">
        <v>121</v>
      </c>
      <c r="F56" s="3">
        <f>AVERAGEIFS(Attempts[graphical_time],Attempts[is_impostor],0)</f>
        <v>8.3774833333333323</v>
      </c>
      <c r="G56" s="14"/>
    </row>
    <row r="57" spans="1:27">
      <c r="E57" t="s">
        <v>122</v>
      </c>
      <c r="F57" s="3">
        <f>AVERAGEIFS(Attempts[mouse_time],Attempts[is_impostor],0)</f>
        <v>4.9662166666666661</v>
      </c>
    </row>
    <row r="58" spans="1:27">
      <c r="A58" s="4" t="s">
        <v>102</v>
      </c>
      <c r="E58" t="s">
        <v>96</v>
      </c>
      <c r="F58" s="3">
        <f>AVERAGEIFS(Attempts[login_time_seconds],Attempts[is_impostor],0)</f>
        <v>24.19703333333333</v>
      </c>
    </row>
    <row r="60" spans="1:27">
      <c r="A60" s="4" t="s">
        <v>100</v>
      </c>
      <c r="B60" s="4" t="s">
        <v>101</v>
      </c>
    </row>
    <row r="61" spans="1:27">
      <c r="A61" t="s">
        <v>67</v>
      </c>
      <c r="B61" s="2">
        <f>AVERAGE(PSSUQ[SYSUSE])</f>
        <v>2.5370370370370372</v>
      </c>
    </row>
    <row r="62" spans="1:27">
      <c r="A62" t="s">
        <v>68</v>
      </c>
      <c r="B62" s="2">
        <f>AVERAGE(PSSUQ[INFOQUAL])</f>
        <v>2.3148148148148149</v>
      </c>
    </row>
    <row r="63" spans="1:27">
      <c r="A63" t="s">
        <v>69</v>
      </c>
      <c r="B63" s="2">
        <f>AVERAGE(PSSUQ[INTERQUAL])</f>
        <v>2.0370370370370372</v>
      </c>
    </row>
    <row r="64" spans="1:27">
      <c r="A64" t="s">
        <v>103</v>
      </c>
      <c r="B64" s="2">
        <f>AVERAGE(PSSUQ[overall_score])</f>
        <v>2.3310185185185182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D3A0-F2F3-4A88-867D-0BD2DBC9BCC3}">
  <dimension ref="C6:C38"/>
  <sheetViews>
    <sheetView topLeftCell="A10" zoomScale="70" zoomScaleNormal="70" workbookViewId="0">
      <selection activeCell="AF73" sqref="AF73"/>
    </sheetView>
  </sheetViews>
  <sheetFormatPr defaultRowHeight="15"/>
  <sheetData>
    <row r="6" spans="3:3">
      <c r="C6" t="s">
        <v>127</v>
      </c>
    </row>
    <row r="38" spans="3:3">
      <c r="C38" t="s">
        <v>128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677F0CDB67458CECCFD16A82EEA9" ma:contentTypeVersion="15" ma:contentTypeDescription="Create a new document." ma:contentTypeScope="" ma:versionID="44e05329cc94d7d2243b188961ed61a3">
  <xsd:schema xmlns:xsd="http://www.w3.org/2001/XMLSchema" xmlns:xs="http://www.w3.org/2001/XMLSchema" xmlns:p="http://schemas.microsoft.com/office/2006/metadata/properties" xmlns:ns3="f4043fd9-d9f0-4d7a-93b0-d0128c76c8b4" xmlns:ns4="a81d260c-22a7-41c6-b3a4-4a78adc15a16" targetNamespace="http://schemas.microsoft.com/office/2006/metadata/properties" ma:root="true" ma:fieldsID="a80375222f9029603247f4d785213039" ns3:_="" ns4:_="">
    <xsd:import namespace="f4043fd9-d9f0-4d7a-93b0-d0128c76c8b4"/>
    <xsd:import namespace="a81d260c-22a7-41c6-b3a4-4a78adc15a1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43fd9-d9f0-4d7a-93b0-d0128c76c8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d260c-22a7-41c6-b3a4-4a78adc15a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1d260c-22a7-41c6-b3a4-4a78adc15a16" xsi:nil="true"/>
  </documentManagement>
</p:properties>
</file>

<file path=customXml/itemProps1.xml><?xml version="1.0" encoding="utf-8"?>
<ds:datastoreItem xmlns:ds="http://schemas.openxmlformats.org/officeDocument/2006/customXml" ds:itemID="{01A2F07D-0AA8-476E-BF09-F2EBA3CEBE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43fd9-d9f0-4d7a-93b0-d0128c76c8b4"/>
    <ds:schemaRef ds:uri="a81d260c-22a7-41c6-b3a4-4a78adc15a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5FAC18-4BC1-48E0-BD71-27F0AAA848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C08529-8BE7-40E9-9DC7-DC55232BB6A2}">
  <ds:schemaRefs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f4043fd9-d9f0-4d7a-93b0-d0128c76c8b4"/>
    <ds:schemaRef ds:uri="http://schemas.microsoft.com/office/infopath/2007/PartnerControls"/>
    <ds:schemaRef ds:uri="http://schemas.microsoft.com/office/2006/documentManagement/types"/>
    <ds:schemaRef ds:uri="a81d260c-22a7-41c6-b3a4-4a78adc15a1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all_attempts</vt:lpstr>
      <vt:lpstr>mouse</vt:lpstr>
      <vt:lpstr>mouse_2</vt:lpstr>
      <vt:lpstr>keystroke specific</vt:lpstr>
      <vt:lpstr>far_summrary</vt:lpstr>
      <vt:lpstr>password_baseline</vt:lpstr>
      <vt:lpstr>PSSUQ</vt:lpstr>
      <vt:lpstr>pre-testing</vt:lpstr>
      <vt:lpstr>exploratory</vt:lpstr>
      <vt:lpstr>summary_tables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Davy</dc:creator>
  <cp:lastModifiedBy>Joshua Davy</cp:lastModifiedBy>
  <dcterms:created xsi:type="dcterms:W3CDTF">2026-04-21T14:10:43Z</dcterms:created>
  <dcterms:modified xsi:type="dcterms:W3CDTF">2026-04-27T00:10:42Z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0x010100FD1A677F0CDB67458CECCFD16A82EEA9</vt:lpwstr>
  </property>
</Properties>
</file>